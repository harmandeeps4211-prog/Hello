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mandeeps\Desktop\project\"/>
    </mc:Choice>
  </mc:AlternateContent>
  <xr:revisionPtr revIDLastSave="0" documentId="13_ncr:1_{96449FEC-7CB7-49C1-A7BC-441905F996B7}" xr6:coauthVersionLast="47" xr6:coauthVersionMax="47" xr10:uidLastSave="{00000000-0000-0000-0000-000000000000}"/>
  <bookViews>
    <workbookView xWindow="-110" yWindow="-110" windowWidth="19420" windowHeight="10300" firstSheet="2" activeTab="5" xr2:uid="{9E8AF168-739A-4850-A6A9-1F17961C8B4D}"/>
  </bookViews>
  <sheets>
    <sheet name="dashboard" sheetId="5" r:id="rId1"/>
    <sheet name="payroll_management_db" sheetId="1" r:id="rId2"/>
    <sheet name="salary_process" sheetId="3" r:id="rId3"/>
    <sheet name="employee_payroll_system" sheetId="2" r:id="rId4"/>
    <sheet name="pivot_db" sheetId="6" r:id="rId5"/>
    <sheet name="payslip" sheetId="4" r:id="rId6"/>
  </sheets>
  <calcPr calcId="191029"/>
  <pivotCaches>
    <pivotCache cacheId="9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0" i="4" l="1"/>
  <c r="G7" i="4"/>
  <c r="F10" i="4"/>
  <c r="D10" i="4"/>
  <c r="G8" i="3"/>
  <c r="G9" i="3"/>
  <c r="G16" i="3"/>
  <c r="I7" i="4"/>
  <c r="I9" i="4"/>
  <c r="E9" i="4"/>
  <c r="H3" i="3"/>
  <c r="H6" i="3"/>
  <c r="H7" i="3"/>
  <c r="H10" i="3"/>
  <c r="H11" i="3"/>
  <c r="H14" i="3"/>
  <c r="H15" i="3"/>
  <c r="F5" i="3"/>
  <c r="F9" i="3"/>
  <c r="F13" i="3"/>
  <c r="E3" i="3"/>
  <c r="E4" i="3"/>
  <c r="G4" i="3" s="1"/>
  <c r="E5" i="3"/>
  <c r="G5" i="3" s="1"/>
  <c r="E6" i="3"/>
  <c r="G6" i="3" s="1"/>
  <c r="E7" i="3"/>
  <c r="E8" i="3"/>
  <c r="E9" i="3"/>
  <c r="E10" i="3"/>
  <c r="G10" i="3" s="1"/>
  <c r="E11" i="3"/>
  <c r="E12" i="3"/>
  <c r="G12" i="3" s="1"/>
  <c r="E13" i="3"/>
  <c r="G13" i="3" s="1"/>
  <c r="E14" i="3"/>
  <c r="G14" i="3" s="1"/>
  <c r="E15" i="3"/>
  <c r="E16" i="3"/>
  <c r="J3" i="1"/>
  <c r="J4" i="1"/>
  <c r="H4" i="3" s="1"/>
  <c r="J5" i="1"/>
  <c r="H5" i="3" s="1"/>
  <c r="J6" i="1"/>
  <c r="J7" i="1"/>
  <c r="J8" i="1"/>
  <c r="H8" i="3" s="1"/>
  <c r="J9" i="1"/>
  <c r="H9" i="3" s="1"/>
  <c r="J10" i="1"/>
  <c r="J11" i="1"/>
  <c r="J12" i="1"/>
  <c r="H12" i="3" s="1"/>
  <c r="J13" i="1"/>
  <c r="H13" i="3" s="1"/>
  <c r="J14" i="1"/>
  <c r="J15" i="1"/>
  <c r="J16" i="1"/>
  <c r="H16" i="3" s="1"/>
  <c r="J19" i="1"/>
  <c r="J20" i="1"/>
  <c r="J2" i="1"/>
  <c r="H2" i="3"/>
  <c r="I13" i="4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  <c r="E15" i="4" s="1"/>
  <c r="H3" i="1"/>
  <c r="F3" i="3" s="1"/>
  <c r="H4" i="1"/>
  <c r="F4" i="3" s="1"/>
  <c r="H5" i="1"/>
  <c r="H6" i="1"/>
  <c r="F6" i="3" s="1"/>
  <c r="H7" i="1"/>
  <c r="F7" i="3" s="1"/>
  <c r="H8" i="1"/>
  <c r="F8" i="3" s="1"/>
  <c r="H9" i="1"/>
  <c r="H10" i="1"/>
  <c r="F10" i="3" s="1"/>
  <c r="H11" i="1"/>
  <c r="F11" i="3" s="1"/>
  <c r="H12" i="1"/>
  <c r="F12" i="3" s="1"/>
  <c r="H13" i="1"/>
  <c r="H14" i="1"/>
  <c r="F14" i="3" s="1"/>
  <c r="H15" i="1"/>
  <c r="F15" i="3" s="1"/>
  <c r="H16" i="1"/>
  <c r="F16" i="3" s="1"/>
  <c r="H2" i="1"/>
  <c r="F2" i="3" s="1"/>
  <c r="E14" i="4" s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2" i="3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L16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M2" i="2"/>
  <c r="D2" i="3" s="1"/>
  <c r="L2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2" i="2"/>
  <c r="C2" i="3"/>
  <c r="A42" i="6"/>
  <c r="I15" i="3" l="1"/>
  <c r="I11" i="3"/>
  <c r="I7" i="3"/>
  <c r="I3" i="3"/>
  <c r="I13" i="3"/>
  <c r="I9" i="3"/>
  <c r="I5" i="3"/>
  <c r="G15" i="3"/>
  <c r="G11" i="3"/>
  <c r="G7" i="3"/>
  <c r="G3" i="3"/>
  <c r="I16" i="3"/>
  <c r="I12" i="3"/>
  <c r="I8" i="3"/>
  <c r="I4" i="3"/>
  <c r="I14" i="3"/>
  <c r="I10" i="3"/>
  <c r="I6" i="3"/>
  <c r="E2" i="3"/>
  <c r="I2" i="3" s="1"/>
  <c r="E13" i="4" l="1"/>
  <c r="E16" i="4" s="1"/>
  <c r="G2" i="3"/>
  <c r="I14" i="4" s="1"/>
  <c r="I16" i="4" s="1"/>
  <c r="D17" i="4" l="1"/>
</calcChain>
</file>

<file path=xl/sharedStrings.xml><?xml version="1.0" encoding="utf-8"?>
<sst xmlns="http://schemas.openxmlformats.org/spreadsheetml/2006/main" count="360" uniqueCount="132">
  <si>
    <t>Emp_ID</t>
  </si>
  <si>
    <t>First_Name</t>
  </si>
  <si>
    <t>Last_Name</t>
  </si>
  <si>
    <t>Department</t>
  </si>
  <si>
    <t>Designation</t>
  </si>
  <si>
    <t>Joining_Date</t>
  </si>
  <si>
    <t>Basic_Salary</t>
  </si>
  <si>
    <t>HRA</t>
  </si>
  <si>
    <t>Special_Allowance</t>
  </si>
  <si>
    <t>PF_Deduction</t>
  </si>
  <si>
    <t>Bank_Account_No</t>
  </si>
  <si>
    <t>EMP001</t>
  </si>
  <si>
    <t>Rahul</t>
  </si>
  <si>
    <t>Sharma</t>
  </si>
  <si>
    <t>IT</t>
  </si>
  <si>
    <t>Manager</t>
  </si>
  <si>
    <t>HDFC0001234</t>
  </si>
  <si>
    <t>EMP002</t>
  </si>
  <si>
    <t>Simran</t>
  </si>
  <si>
    <t>Kaur</t>
  </si>
  <si>
    <t>HR</t>
  </si>
  <si>
    <t>Executive</t>
  </si>
  <si>
    <t>15/03/2022</t>
  </si>
  <si>
    <t>SBI0009876</t>
  </si>
  <si>
    <t>EMP003</t>
  </si>
  <si>
    <t>Amit</t>
  </si>
  <si>
    <t>Singh</t>
  </si>
  <si>
    <t>Sales</t>
  </si>
  <si>
    <t>Lead</t>
  </si>
  <si>
    <t>20/07/2020</t>
  </si>
  <si>
    <t>ICICI0004567</t>
  </si>
  <si>
    <t>EMP004</t>
  </si>
  <si>
    <t>Neha</t>
  </si>
  <si>
    <t>Gupta</t>
  </si>
  <si>
    <t>Admin</t>
  </si>
  <si>
    <t>Coordinator</t>
  </si>
  <si>
    <t>PNB0003456</t>
  </si>
  <si>
    <t>EMP005</t>
  </si>
  <si>
    <t>Vikram</t>
  </si>
  <si>
    <t>Joshi</t>
  </si>
  <si>
    <t>Developer</t>
  </si>
  <si>
    <t>HDFC0001235</t>
  </si>
  <si>
    <t>EMP006</t>
  </si>
  <si>
    <t>Priya</t>
  </si>
  <si>
    <t>Verma</t>
  </si>
  <si>
    <t>Marketing</t>
  </si>
  <si>
    <t>Specialist</t>
  </si>
  <si>
    <t>AXIS0007890</t>
  </si>
  <si>
    <t>EMP007</t>
  </si>
  <si>
    <t>Ravi</t>
  </si>
  <si>
    <t>Kumar</t>
  </si>
  <si>
    <t>Tester</t>
  </si>
  <si>
    <t>18/05/2022</t>
  </si>
  <si>
    <t>SBI0009877</t>
  </si>
  <si>
    <t>EMP008</t>
  </si>
  <si>
    <t>Gurpreet</t>
  </si>
  <si>
    <t>Operations</t>
  </si>
  <si>
    <t>14/06/2019</t>
  </si>
  <si>
    <t>HDFC0001236</t>
  </si>
  <si>
    <t>EMP009</t>
  </si>
  <si>
    <t>Aman</t>
  </si>
  <si>
    <t>Deep</t>
  </si>
  <si>
    <t>22/08/2022</t>
  </si>
  <si>
    <t>PNB0003457</t>
  </si>
  <si>
    <t>EMP010</t>
  </si>
  <si>
    <t>Sonia</t>
  </si>
  <si>
    <t>Bajaj</t>
  </si>
  <si>
    <t>ICICI0004568</t>
  </si>
  <si>
    <t>EMP011</t>
  </si>
  <si>
    <t>Karan</t>
  </si>
  <si>
    <t>Malhotra</t>
  </si>
  <si>
    <t>SBI0009878</t>
  </si>
  <si>
    <t>EMP012</t>
  </si>
  <si>
    <t>Pooja</t>
  </si>
  <si>
    <t>Rani</t>
  </si>
  <si>
    <t>Finance</t>
  </si>
  <si>
    <t>Analyst</t>
  </si>
  <si>
    <t>30/01/2021</t>
  </si>
  <si>
    <t>AXIS0007891</t>
  </si>
  <si>
    <t>EMP013</t>
  </si>
  <si>
    <t>Harjit</t>
  </si>
  <si>
    <t>Assistant</t>
  </si>
  <si>
    <t>17/04/2023</t>
  </si>
  <si>
    <t>HDFC0001237</t>
  </si>
  <si>
    <t>EMP014</t>
  </si>
  <si>
    <t>Manpreet</t>
  </si>
  <si>
    <t>25/12/2018</t>
  </si>
  <si>
    <t>PNB0003458</t>
  </si>
  <si>
    <t>EMP015</t>
  </si>
  <si>
    <t>Rohit</t>
  </si>
  <si>
    <t>Bansal</t>
  </si>
  <si>
    <t>Support</t>
  </si>
  <si>
    <t>SBI0009879</t>
  </si>
  <si>
    <t>1_Mon</t>
  </si>
  <si>
    <t>2_Tue</t>
  </si>
  <si>
    <t>3_Wed</t>
  </si>
  <si>
    <t>4_Thu</t>
  </si>
  <si>
    <t>5_Fri</t>
  </si>
  <si>
    <t>6_Sat</t>
  </si>
  <si>
    <t>7_Sun</t>
  </si>
  <si>
    <t>Total_Present</t>
  </si>
  <si>
    <t>Total_Absent</t>
  </si>
  <si>
    <t>Total_Leave</t>
  </si>
  <si>
    <t>Payable_Days</t>
  </si>
  <si>
    <t>P</t>
  </si>
  <si>
    <t>H</t>
  </si>
  <si>
    <t>A</t>
  </si>
  <si>
    <t>L</t>
  </si>
  <si>
    <t>Calculated_Basic</t>
  </si>
  <si>
    <t>Net_Salary</t>
  </si>
  <si>
    <t>Company Name</t>
  </si>
  <si>
    <t>Salary Slip</t>
  </si>
  <si>
    <t>Employee id:</t>
  </si>
  <si>
    <t>Name</t>
  </si>
  <si>
    <t>Department:</t>
  </si>
  <si>
    <t>Designation:</t>
  </si>
  <si>
    <t>Amount</t>
  </si>
  <si>
    <t>Deductions</t>
  </si>
  <si>
    <t xml:space="preserve">Earnings	</t>
  </si>
  <si>
    <t>Basic Pay</t>
  </si>
  <si>
    <t>PF Deduction</t>
  </si>
  <si>
    <t>Special Allow.</t>
  </si>
  <si>
    <t>Gross Earnings</t>
  </si>
  <si>
    <t>Total Deduct.</t>
  </si>
  <si>
    <t>NET PAY</t>
  </si>
  <si>
    <t>Last Name</t>
  </si>
  <si>
    <t>ESI</t>
  </si>
  <si>
    <t>Aadhar no</t>
  </si>
  <si>
    <t>Aadhar no.</t>
  </si>
  <si>
    <t>Row Labels</t>
  </si>
  <si>
    <t>Grand Total</t>
  </si>
  <si>
    <t>Sum of Basic_Salary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</si>
</sst>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2"/>
      <color theme="1"/>
      <name val="Amasis MT Pro Black"/>
      <family val="1"/>
    </font>
    <font>
      <sz val="11"/>
      <color theme="1"/>
      <name val="Abadi ExtraLight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4" borderId="1" xfId="0" applyFill="1" applyBorder="1" applyAlignment="1">
      <alignment horizontal="left" vertical="top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0" fillId="5" borderId="0" xfId="0" applyFill="1"/>
    <xf numFmtId="0" fontId="0" fillId="5" borderId="7" xfId="0" applyFill="1" applyBorder="1"/>
    <xf numFmtId="0" fontId="0" fillId="5" borderId="8" xfId="0" applyFill="1" applyBorder="1"/>
    <xf numFmtId="0" fontId="0" fillId="5" borderId="7" xfId="0" applyFill="1" applyBorder="1" applyAlignment="1">
      <alignment horizontal="left" vertical="top"/>
    </xf>
    <xf numFmtId="0" fontId="0" fillId="4" borderId="5" xfId="0" applyFill="1" applyBorder="1"/>
    <xf numFmtId="0" fontId="0" fillId="0" borderId="8" xfId="0" applyBorder="1"/>
    <xf numFmtId="0" fontId="0" fillId="0" borderId="7" xfId="0" applyBorder="1"/>
    <xf numFmtId="0" fontId="1" fillId="2" borderId="9" xfId="0" applyFont="1" applyFill="1" applyBorder="1"/>
    <xf numFmtId="0" fontId="1" fillId="2" borderId="10" xfId="0" applyFont="1" applyFill="1" applyBorder="1"/>
    <xf numFmtId="0" fontId="0" fillId="5" borderId="11" xfId="0" applyFill="1" applyBorder="1"/>
    <xf numFmtId="0" fontId="0" fillId="5" borderId="12" xfId="0" applyFill="1" applyBorder="1"/>
    <xf numFmtId="0" fontId="0" fillId="4" borderId="1" xfId="0" applyFill="1" applyBorder="1" applyAlignment="1">
      <alignment vertical="top"/>
    </xf>
    <xf numFmtId="0" fontId="0" fillId="4" borderId="14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0" fillId="4" borderId="6" xfId="0" applyFill="1" applyBorder="1" applyAlignment="1">
      <alignment horizontal="left" vertical="top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left" vertical="top"/>
    </xf>
    <xf numFmtId="0" fontId="0" fillId="4" borderId="5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13" xfId="0" applyFill="1" applyBorder="1" applyAlignment="1">
      <alignment horizontal="left"/>
    </xf>
    <xf numFmtId="0" fontId="0" fillId="4" borderId="15" xfId="0" applyFill="1" applyBorder="1" applyAlignment="1">
      <alignment horizontal="left"/>
    </xf>
    <xf numFmtId="0" fontId="0" fillId="4" borderId="0" xfId="0" applyFill="1"/>
    <xf numFmtId="14" fontId="0" fillId="4" borderId="13" xfId="0" applyNumberFormat="1" applyFill="1" applyBorder="1"/>
    <xf numFmtId="0" fontId="0" fillId="4" borderId="16" xfId="0" applyFill="1" applyBorder="1" applyAlignment="1">
      <alignment horizontal="left" vertical="top"/>
    </xf>
    <xf numFmtId="0" fontId="0" fillId="4" borderId="17" xfId="0" applyFill="1" applyBorder="1" applyAlignment="1">
      <alignment horizontal="left" vertical="top"/>
    </xf>
    <xf numFmtId="0" fontId="0" fillId="4" borderId="16" xfId="0" applyFill="1" applyBorder="1"/>
    <xf numFmtId="0" fontId="0" fillId="4" borderId="1" xfId="0" applyFill="1" applyBorder="1" applyAlignment="1"/>
    <xf numFmtId="0" fontId="0" fillId="6" borderId="0" xfId="0" applyFill="1"/>
    <xf numFmtId="0" fontId="0" fillId="7" borderId="0" xfId="0" applyFill="1"/>
    <xf numFmtId="0" fontId="0" fillId="0" borderId="0" xfId="0" applyFill="1"/>
    <xf numFmtId="0" fontId="0" fillId="9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5" borderId="0" xfId="0" applyFont="1" applyFill="1"/>
    <xf numFmtId="0" fontId="0" fillId="7" borderId="1" xfId="0" applyFill="1" applyBorder="1"/>
    <xf numFmtId="0" fontId="0" fillId="8" borderId="1" xfId="0" applyFill="1" applyBorder="1"/>
    <xf numFmtId="2" fontId="0" fillId="4" borderId="1" xfId="0" applyNumberForma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[Payroll_mgt.xlsx]pivot_db!PivotTable1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pivot_db!$B$3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671-4906-80A4-F3A2A01C66D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671-4906-80A4-F3A2A01C66D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671-4906-80A4-F3A2A01C66D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671-4906-80A4-F3A2A01C66D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671-4906-80A4-F3A2A01C66D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671-4906-80A4-F3A2A01C66D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671-4906-80A4-F3A2A01C66D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671-4906-80A4-F3A2A01C66D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671-4906-80A4-F3A2A01C66D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671-4906-80A4-F3A2A01C66D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671-4906-80A4-F3A2A01C66D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671-4906-80A4-F3A2A01C66D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671-4906-80A4-F3A2A01C66D4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5671-4906-80A4-F3A2A01C66D4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5671-4906-80A4-F3A2A01C66D4}"/>
              </c:ext>
            </c:extLst>
          </c:dPt>
          <c:cat>
            <c:strRef>
              <c:f>pivot_db!$A$4:$A$19</c:f>
              <c:strCache>
                <c:ptCount val="15"/>
                <c:pt idx="0">
                  <c:v>EMP001</c:v>
                </c:pt>
                <c:pt idx="1">
                  <c:v>EMP002</c:v>
                </c:pt>
                <c:pt idx="2">
                  <c:v>EMP003</c:v>
                </c:pt>
                <c:pt idx="3">
                  <c:v>EMP004</c:v>
                </c:pt>
                <c:pt idx="4">
                  <c:v>EMP005</c:v>
                </c:pt>
                <c:pt idx="5">
                  <c:v>EMP006</c:v>
                </c:pt>
                <c:pt idx="6">
                  <c:v>EMP007</c:v>
                </c:pt>
                <c:pt idx="7">
                  <c:v>EMP008</c:v>
                </c:pt>
                <c:pt idx="8">
                  <c:v>EMP009</c:v>
                </c:pt>
                <c:pt idx="9">
                  <c:v>EMP010</c:v>
                </c:pt>
                <c:pt idx="10">
                  <c:v>EMP011</c:v>
                </c:pt>
                <c:pt idx="11">
                  <c:v>EMP012</c:v>
                </c:pt>
                <c:pt idx="12">
                  <c:v>EMP013</c:v>
                </c:pt>
                <c:pt idx="13">
                  <c:v>EMP014</c:v>
                </c:pt>
                <c:pt idx="14">
                  <c:v>EMP015</c:v>
                </c:pt>
              </c:strCache>
            </c:strRef>
          </c:cat>
          <c:val>
            <c:numRef>
              <c:f>pivot_db!$B$4:$B$19</c:f>
              <c:numCache>
                <c:formatCode>General</c:formatCode>
                <c:ptCount val="15"/>
                <c:pt idx="0">
                  <c:v>50000</c:v>
                </c:pt>
                <c:pt idx="1">
                  <c:v>30000</c:v>
                </c:pt>
                <c:pt idx="2">
                  <c:v>40000</c:v>
                </c:pt>
                <c:pt idx="3">
                  <c:v>25000</c:v>
                </c:pt>
                <c:pt idx="4">
                  <c:v>45000</c:v>
                </c:pt>
                <c:pt idx="5">
                  <c:v>35000</c:v>
                </c:pt>
                <c:pt idx="6">
                  <c:v>32000</c:v>
                </c:pt>
                <c:pt idx="7">
                  <c:v>48000</c:v>
                </c:pt>
                <c:pt idx="8">
                  <c:v>42000</c:v>
                </c:pt>
                <c:pt idx="9">
                  <c:v>46000</c:v>
                </c:pt>
                <c:pt idx="10">
                  <c:v>28000</c:v>
                </c:pt>
                <c:pt idx="11">
                  <c:v>38000</c:v>
                </c:pt>
                <c:pt idx="12">
                  <c:v>22000</c:v>
                </c:pt>
                <c:pt idx="13">
                  <c:v>55000</c:v>
                </c:pt>
                <c:pt idx="14">
                  <c:v>26000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5671-4906-80A4-F3A2A01C6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[Payroll_mgt.xlsx]pivot_db!PivotTable3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pivot_db!$B$22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pivot_db!$A$23:$A$38</c:f>
              <c:strCache>
                <c:ptCount val="15"/>
                <c:pt idx="0">
                  <c:v>Aman</c:v>
                </c:pt>
                <c:pt idx="1">
                  <c:v>Amit</c:v>
                </c:pt>
                <c:pt idx="2">
                  <c:v>Gurpreet</c:v>
                </c:pt>
                <c:pt idx="3">
                  <c:v>Harjit</c:v>
                </c:pt>
                <c:pt idx="4">
                  <c:v>Karan</c:v>
                </c:pt>
                <c:pt idx="5">
                  <c:v>Manpreet</c:v>
                </c:pt>
                <c:pt idx="6">
                  <c:v>Neha</c:v>
                </c:pt>
                <c:pt idx="7">
                  <c:v>Pooja</c:v>
                </c:pt>
                <c:pt idx="8">
                  <c:v>Priya</c:v>
                </c:pt>
                <c:pt idx="9">
                  <c:v>Rahul</c:v>
                </c:pt>
                <c:pt idx="10">
                  <c:v>Ravi</c:v>
                </c:pt>
                <c:pt idx="11">
                  <c:v>Rohit</c:v>
                </c:pt>
                <c:pt idx="12">
                  <c:v>Simran</c:v>
                </c:pt>
                <c:pt idx="13">
                  <c:v>Sonia</c:v>
                </c:pt>
                <c:pt idx="14">
                  <c:v>Vikram</c:v>
                </c:pt>
              </c:strCache>
            </c:strRef>
          </c:cat>
          <c:val>
            <c:numRef>
              <c:f>pivot_db!$B$23:$B$38</c:f>
              <c:numCache>
                <c:formatCode>General</c:formatCode>
                <c:ptCount val="15"/>
                <c:pt idx="0">
                  <c:v>42000</c:v>
                </c:pt>
                <c:pt idx="1">
                  <c:v>40000</c:v>
                </c:pt>
                <c:pt idx="2">
                  <c:v>48000</c:v>
                </c:pt>
                <c:pt idx="3">
                  <c:v>22000</c:v>
                </c:pt>
                <c:pt idx="4">
                  <c:v>28000</c:v>
                </c:pt>
                <c:pt idx="5">
                  <c:v>55000</c:v>
                </c:pt>
                <c:pt idx="6">
                  <c:v>25000</c:v>
                </c:pt>
                <c:pt idx="7">
                  <c:v>38000</c:v>
                </c:pt>
                <c:pt idx="8">
                  <c:v>35000</c:v>
                </c:pt>
                <c:pt idx="9">
                  <c:v>50000</c:v>
                </c:pt>
                <c:pt idx="10">
                  <c:v>32000</c:v>
                </c:pt>
                <c:pt idx="11">
                  <c:v>26000</c:v>
                </c:pt>
                <c:pt idx="12">
                  <c:v>30000</c:v>
                </c:pt>
                <c:pt idx="13">
                  <c:v>46000</c:v>
                </c:pt>
                <c:pt idx="14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6-473A-9D7C-67A1EB779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184576"/>
        <c:axId val="2063930112"/>
      </c:barChart>
      <c:catAx>
        <c:axId val="441845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63930112"/>
        <c:crosses val="autoZero"/>
        <c:auto val="1"/>
        <c:lblAlgn val="ctr"/>
        <c:lblOffset val="100"/>
        <c:noMultiLvlLbl val="0"/>
      </c:catAx>
      <c:valAx>
        <c:axId val="20639301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4184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[Payroll_mgt.xlsx]pivot_db!PivotTable1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pivot_db!$B$3</c:f>
              <c:strCache>
                <c:ptCount val="1"/>
                <c:pt idx="0">
                  <c:v>Total</c:v>
                </c:pt>
              </c:strCache>
            </c:strRef>
          </c:tx>
          <c:explosion val="9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671-4906-80A4-F3A2A01C66D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671-4906-80A4-F3A2A01C66D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671-4906-80A4-F3A2A01C66D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671-4906-80A4-F3A2A01C66D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671-4906-80A4-F3A2A01C66D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671-4906-80A4-F3A2A01C66D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671-4906-80A4-F3A2A01C66D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671-4906-80A4-F3A2A01C66D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671-4906-80A4-F3A2A01C66D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671-4906-80A4-F3A2A01C66D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671-4906-80A4-F3A2A01C66D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671-4906-80A4-F3A2A01C66D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671-4906-80A4-F3A2A01C66D4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5671-4906-80A4-F3A2A01C66D4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5671-4906-80A4-F3A2A01C66D4}"/>
              </c:ext>
            </c:extLst>
          </c:dPt>
          <c:cat>
            <c:strRef>
              <c:f>pivot_db!$A$4:$A$19</c:f>
              <c:strCache>
                <c:ptCount val="15"/>
                <c:pt idx="0">
                  <c:v>EMP001</c:v>
                </c:pt>
                <c:pt idx="1">
                  <c:v>EMP002</c:v>
                </c:pt>
                <c:pt idx="2">
                  <c:v>EMP003</c:v>
                </c:pt>
                <c:pt idx="3">
                  <c:v>EMP004</c:v>
                </c:pt>
                <c:pt idx="4">
                  <c:v>EMP005</c:v>
                </c:pt>
                <c:pt idx="5">
                  <c:v>EMP006</c:v>
                </c:pt>
                <c:pt idx="6">
                  <c:v>EMP007</c:v>
                </c:pt>
                <c:pt idx="7">
                  <c:v>EMP008</c:v>
                </c:pt>
                <c:pt idx="8">
                  <c:v>EMP009</c:v>
                </c:pt>
                <c:pt idx="9">
                  <c:v>EMP010</c:v>
                </c:pt>
                <c:pt idx="10">
                  <c:v>EMP011</c:v>
                </c:pt>
                <c:pt idx="11">
                  <c:v>EMP012</c:v>
                </c:pt>
                <c:pt idx="12">
                  <c:v>EMP013</c:v>
                </c:pt>
                <c:pt idx="13">
                  <c:v>EMP014</c:v>
                </c:pt>
                <c:pt idx="14">
                  <c:v>EMP015</c:v>
                </c:pt>
              </c:strCache>
            </c:strRef>
          </c:cat>
          <c:val>
            <c:numRef>
              <c:f>pivot_db!$B$4:$B$19</c:f>
              <c:numCache>
                <c:formatCode>General</c:formatCode>
                <c:ptCount val="15"/>
                <c:pt idx="0">
                  <c:v>50000</c:v>
                </c:pt>
                <c:pt idx="1">
                  <c:v>30000</c:v>
                </c:pt>
                <c:pt idx="2">
                  <c:v>40000</c:v>
                </c:pt>
                <c:pt idx="3">
                  <c:v>25000</c:v>
                </c:pt>
                <c:pt idx="4">
                  <c:v>45000</c:v>
                </c:pt>
                <c:pt idx="5">
                  <c:v>35000</c:v>
                </c:pt>
                <c:pt idx="6">
                  <c:v>32000</c:v>
                </c:pt>
                <c:pt idx="7">
                  <c:v>48000</c:v>
                </c:pt>
                <c:pt idx="8">
                  <c:v>42000</c:v>
                </c:pt>
                <c:pt idx="9">
                  <c:v>46000</c:v>
                </c:pt>
                <c:pt idx="10">
                  <c:v>28000</c:v>
                </c:pt>
                <c:pt idx="11">
                  <c:v>38000</c:v>
                </c:pt>
                <c:pt idx="12">
                  <c:v>22000</c:v>
                </c:pt>
                <c:pt idx="13">
                  <c:v>55000</c:v>
                </c:pt>
                <c:pt idx="14">
                  <c:v>26000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5671-4906-80A4-F3A2A01C6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13" Type="http://schemas.openxmlformats.org/officeDocument/2006/relationships/image" Target="../media/image5.svg"/><Relationship Id="rId3" Type="http://schemas.openxmlformats.org/officeDocument/2006/relationships/hyperlink" Target="Payroll_mgt.xlsx" TargetMode="External"/><Relationship Id="rId7" Type="http://schemas.openxmlformats.org/officeDocument/2006/relationships/hyperlink" Target="#salary_process!A1"/><Relationship Id="rId12" Type="http://schemas.openxmlformats.org/officeDocument/2006/relationships/image" Target="../media/image4.png"/><Relationship Id="rId2" Type="http://schemas.openxmlformats.org/officeDocument/2006/relationships/image" Target="../media/image1.png"/><Relationship Id="rId16" Type="http://schemas.openxmlformats.org/officeDocument/2006/relationships/chart" Target="../charts/chart3.xml"/><Relationship Id="rId1" Type="http://schemas.openxmlformats.org/officeDocument/2006/relationships/customXml" Target="../ink/ink1.xml"/><Relationship Id="rId6" Type="http://schemas.openxmlformats.org/officeDocument/2006/relationships/hyperlink" Target="#payroll_management_db!A1"/><Relationship Id="rId11" Type="http://schemas.openxmlformats.org/officeDocument/2006/relationships/chart" Target="../charts/chart2.xml"/><Relationship Id="rId5" Type="http://schemas.openxmlformats.org/officeDocument/2006/relationships/hyperlink" Target="#employee_payroll_system!A1"/><Relationship Id="rId15" Type="http://schemas.openxmlformats.org/officeDocument/2006/relationships/image" Target="../media/image7.svg"/><Relationship Id="rId10" Type="http://schemas.openxmlformats.org/officeDocument/2006/relationships/chart" Target="../charts/chart1.xml"/><Relationship Id="rId4" Type="http://schemas.openxmlformats.org/officeDocument/2006/relationships/hyperlink" Target="#payslip!A1"/><Relationship Id="rId9" Type="http://schemas.openxmlformats.org/officeDocument/2006/relationships/image" Target="../media/image3.svg"/><Relationship Id="rId14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employee_payroll_system!A1"/><Relationship Id="rId1" Type="http://schemas.openxmlformats.org/officeDocument/2006/relationships/hyperlink" Target="#dashboard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482400</xdr:colOff>
      <xdr:row>3</xdr:row>
      <xdr:rowOff>107790</xdr:rowOff>
    </xdr:from>
    <xdr:to>
      <xdr:col>3</xdr:col>
      <xdr:colOff>482760</xdr:colOff>
      <xdr:row>3</xdr:row>
      <xdr:rowOff>108150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F1BD2759-EC4A-0EB2-DD8A-1B8C713D7A6F}"/>
                </a:ext>
              </a:extLst>
            </xdr14:cNvPr>
            <xdr14:cNvContentPartPr/>
          </xdr14:nvContentPartPr>
          <xdr14:nvPr macro=""/>
          <xdr14:xfrm>
            <a:off x="2311200" y="66024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F1BD2759-EC4A-0EB2-DD8A-1B8C713D7A6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305080" y="6541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</xdr:col>
      <xdr:colOff>177800</xdr:colOff>
      <xdr:row>1</xdr:row>
      <xdr:rowOff>123300</xdr:rowOff>
    </xdr:from>
    <xdr:to>
      <xdr:col>11</xdr:col>
      <xdr:colOff>154126</xdr:colOff>
      <xdr:row>20</xdr:row>
      <xdr:rowOff>31749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89EE03C-0EFB-88A4-45F5-45FDEA2C71F9}"/>
            </a:ext>
          </a:extLst>
        </xdr:cNvPr>
        <xdr:cNvSpPr/>
      </xdr:nvSpPr>
      <xdr:spPr>
        <a:xfrm>
          <a:off x="1398480" y="308251"/>
          <a:ext cx="5469384" cy="3422527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184150</xdr:colOff>
      <xdr:row>1</xdr:row>
      <xdr:rowOff>135632</xdr:rowOff>
    </xdr:from>
    <xdr:to>
      <xdr:col>4</xdr:col>
      <xdr:colOff>234950</xdr:colOff>
      <xdr:row>20</xdr:row>
      <xdr:rowOff>25400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7557584-9D04-111E-AF66-E4434A717A78}"/>
            </a:ext>
          </a:extLst>
        </xdr:cNvPr>
        <xdr:cNvSpPr/>
      </xdr:nvSpPr>
      <xdr:spPr>
        <a:xfrm>
          <a:off x="1404830" y="320583"/>
          <a:ext cx="1271479" cy="340384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285750</xdr:colOff>
      <xdr:row>11</xdr:row>
      <xdr:rowOff>120650</xdr:rowOff>
    </xdr:from>
    <xdr:to>
      <xdr:col>7</xdr:col>
      <xdr:colOff>533400</xdr:colOff>
      <xdr:row>20</xdr:row>
      <xdr:rowOff>6350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D67D5EC0-78B5-B001-5765-E19DC50FA29F}"/>
            </a:ext>
          </a:extLst>
        </xdr:cNvPr>
        <xdr:cNvSpPr/>
      </xdr:nvSpPr>
      <xdr:spPr>
        <a:xfrm>
          <a:off x="2724150" y="2146300"/>
          <a:ext cx="2076450" cy="15430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577850</xdr:colOff>
      <xdr:row>11</xdr:row>
      <xdr:rowOff>122296</xdr:rowOff>
    </xdr:from>
    <xdr:to>
      <xdr:col>11</xdr:col>
      <xdr:colOff>133350</xdr:colOff>
      <xdr:row>20</xdr:row>
      <xdr:rowOff>1646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57B5472-0381-C55A-72B2-AD4F59D46F64}"/>
            </a:ext>
          </a:extLst>
        </xdr:cNvPr>
        <xdr:cNvSpPr/>
      </xdr:nvSpPr>
      <xdr:spPr>
        <a:xfrm>
          <a:off x="4841757" y="2140185"/>
          <a:ext cx="1992019" cy="15303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298450</xdr:colOff>
      <xdr:row>8</xdr:row>
      <xdr:rowOff>123301</xdr:rowOff>
    </xdr:from>
    <xdr:to>
      <xdr:col>7</xdr:col>
      <xdr:colOff>546100</xdr:colOff>
      <xdr:row>11</xdr:row>
      <xdr:rowOff>81810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21D7E48-93C1-266A-8BE3-AA23DCF3D85D}"/>
            </a:ext>
          </a:extLst>
        </xdr:cNvPr>
        <xdr:cNvSpPr/>
      </xdr:nvSpPr>
      <xdr:spPr>
        <a:xfrm>
          <a:off x="2739809" y="1602913"/>
          <a:ext cx="2078670" cy="513363"/>
        </a:xfrm>
        <a:prstGeom prst="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6350</xdr:colOff>
      <xdr:row>8</xdr:row>
      <xdr:rowOff>129467</xdr:rowOff>
    </xdr:from>
    <xdr:to>
      <xdr:col>11</xdr:col>
      <xdr:colOff>120650</xdr:colOff>
      <xdr:row>11</xdr:row>
      <xdr:rowOff>82751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6107FE01-0B34-040B-4A81-9B291350F15C}"/>
            </a:ext>
          </a:extLst>
        </xdr:cNvPr>
        <xdr:cNvSpPr/>
      </xdr:nvSpPr>
      <xdr:spPr>
        <a:xfrm>
          <a:off x="4889068" y="1609079"/>
          <a:ext cx="1945320" cy="508138"/>
        </a:xfrm>
        <a:prstGeom prst="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277427</xdr:colOff>
      <xdr:row>6</xdr:row>
      <xdr:rowOff>67752</xdr:rowOff>
    </xdr:from>
    <xdr:to>
      <xdr:col>11</xdr:col>
      <xdr:colOff>117136</xdr:colOff>
      <xdr:row>8</xdr:row>
      <xdr:rowOff>67752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9B9E88F-1E4F-008C-C4F1-E817AFDE0CF0}"/>
            </a:ext>
          </a:extLst>
        </xdr:cNvPr>
        <xdr:cNvSpPr/>
      </xdr:nvSpPr>
      <xdr:spPr>
        <a:xfrm>
          <a:off x="2718786" y="1177461"/>
          <a:ext cx="4112088" cy="369903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294998</xdr:colOff>
      <xdr:row>1</xdr:row>
      <xdr:rowOff>146172</xdr:rowOff>
    </xdr:from>
    <xdr:to>
      <xdr:col>11</xdr:col>
      <xdr:colOff>135631</xdr:colOff>
      <xdr:row>3</xdr:row>
      <xdr:rowOff>146172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84B40C9F-465C-1910-332B-B46908952E4E}"/>
            </a:ext>
          </a:extLst>
        </xdr:cNvPr>
        <xdr:cNvSpPr/>
      </xdr:nvSpPr>
      <xdr:spPr>
        <a:xfrm>
          <a:off x="2736357" y="331123"/>
          <a:ext cx="4113012" cy="369903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/>
            <a:t>SALARY</a:t>
          </a:r>
          <a:r>
            <a:rPr lang="en-IN" sz="2000" b="1" baseline="0"/>
            <a:t> DESK</a:t>
          </a:r>
          <a:endParaRPr lang="en-IN" sz="2000" b="1"/>
        </a:p>
      </xdr:txBody>
    </xdr:sp>
    <xdr:clientData/>
  </xdr:twoCellAnchor>
  <xdr:twoCellAnchor>
    <xdr:from>
      <xdr:col>4</xdr:col>
      <xdr:colOff>293270</xdr:colOff>
      <xdr:row>4</xdr:row>
      <xdr:rowOff>8814</xdr:rowOff>
    </xdr:from>
    <xdr:to>
      <xdr:col>11</xdr:col>
      <xdr:colOff>123300</xdr:colOff>
      <xdr:row>6</xdr:row>
      <xdr:rowOff>8814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A7811951-85E8-2338-38D0-64086D6F36AF}"/>
            </a:ext>
          </a:extLst>
        </xdr:cNvPr>
        <xdr:cNvSpPr/>
      </xdr:nvSpPr>
      <xdr:spPr>
        <a:xfrm>
          <a:off x="2734629" y="748620"/>
          <a:ext cx="4102409" cy="369903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COMPANY</a:t>
          </a:r>
          <a:r>
            <a:rPr lang="en-IN" sz="1100" baseline="0"/>
            <a:t> NAME</a:t>
          </a:r>
          <a:endParaRPr lang="en-IN" sz="1100"/>
        </a:p>
      </xdr:txBody>
    </xdr:sp>
    <xdr:clientData/>
  </xdr:twoCellAnchor>
  <xdr:twoCellAnchor>
    <xdr:from>
      <xdr:col>2</xdr:col>
      <xdr:colOff>326747</xdr:colOff>
      <xdr:row>8</xdr:row>
      <xdr:rowOff>154123</xdr:rowOff>
    </xdr:from>
    <xdr:to>
      <xdr:col>4</xdr:col>
      <xdr:colOff>123301</xdr:colOff>
      <xdr:row>10</xdr:row>
      <xdr:rowOff>104802</xdr:rowOff>
    </xdr:to>
    <xdr:sp macro="" textlink="">
      <xdr:nvSpPr>
        <xdr:cNvPr id="13" name="Oval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9242DEF-2243-DD6B-F051-64C5AF92D214}"/>
            </a:ext>
          </a:extLst>
        </xdr:cNvPr>
        <xdr:cNvSpPr/>
      </xdr:nvSpPr>
      <xdr:spPr>
        <a:xfrm>
          <a:off x="1547427" y="1633735"/>
          <a:ext cx="1017233" cy="320582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/>
            <a:t>Dashboard</a:t>
          </a:r>
        </a:p>
      </xdr:txBody>
    </xdr:sp>
    <xdr:clientData/>
  </xdr:twoCellAnchor>
  <xdr:twoCellAnchor>
    <xdr:from>
      <xdr:col>2</xdr:col>
      <xdr:colOff>331186</xdr:colOff>
      <xdr:row>10</xdr:row>
      <xdr:rowOff>152397</xdr:rowOff>
    </xdr:from>
    <xdr:to>
      <xdr:col>4</xdr:col>
      <xdr:colOff>127740</xdr:colOff>
      <xdr:row>12</xdr:row>
      <xdr:rowOff>103077</xdr:rowOff>
    </xdr:to>
    <xdr:sp macro="" textlink="">
      <xdr:nvSpPr>
        <xdr:cNvPr id="14" name="Oval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C1DB71B-13B7-3503-00BB-73C037FA60D1}"/>
            </a:ext>
          </a:extLst>
        </xdr:cNvPr>
        <xdr:cNvSpPr/>
      </xdr:nvSpPr>
      <xdr:spPr>
        <a:xfrm>
          <a:off x="1551866" y="2001912"/>
          <a:ext cx="1017233" cy="320582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/>
            <a:t>Salary Slip</a:t>
          </a:r>
        </a:p>
      </xdr:txBody>
    </xdr:sp>
    <xdr:clientData/>
  </xdr:twoCellAnchor>
  <xdr:twoCellAnchor>
    <xdr:from>
      <xdr:col>2</xdr:col>
      <xdr:colOff>329460</xdr:colOff>
      <xdr:row>12</xdr:row>
      <xdr:rowOff>156838</xdr:rowOff>
    </xdr:from>
    <xdr:to>
      <xdr:col>4</xdr:col>
      <xdr:colOff>126014</xdr:colOff>
      <xdr:row>14</xdr:row>
      <xdr:rowOff>107517</xdr:rowOff>
    </xdr:to>
    <xdr:sp macro="" textlink="">
      <xdr:nvSpPr>
        <xdr:cNvPr id="15" name="Oval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975EFC6-1F5F-B05F-AAE9-D0A23BB961E0}"/>
            </a:ext>
          </a:extLst>
        </xdr:cNvPr>
        <xdr:cNvSpPr/>
      </xdr:nvSpPr>
      <xdr:spPr>
        <a:xfrm>
          <a:off x="1550140" y="2376255"/>
          <a:ext cx="1017233" cy="320582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/>
            <a:t>Attendence</a:t>
          </a:r>
        </a:p>
      </xdr:txBody>
    </xdr:sp>
    <xdr:clientData/>
  </xdr:twoCellAnchor>
  <xdr:twoCellAnchor>
    <xdr:from>
      <xdr:col>2</xdr:col>
      <xdr:colOff>333898</xdr:colOff>
      <xdr:row>14</xdr:row>
      <xdr:rowOff>155112</xdr:rowOff>
    </xdr:from>
    <xdr:to>
      <xdr:col>4</xdr:col>
      <xdr:colOff>130452</xdr:colOff>
      <xdr:row>16</xdr:row>
      <xdr:rowOff>105791</xdr:rowOff>
    </xdr:to>
    <xdr:sp macro="" textlink="">
      <xdr:nvSpPr>
        <xdr:cNvPr id="16" name="Oval 1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12E8B62-2FA7-A780-775F-32B4E3ABB126}"/>
            </a:ext>
          </a:extLst>
        </xdr:cNvPr>
        <xdr:cNvSpPr/>
      </xdr:nvSpPr>
      <xdr:spPr>
        <a:xfrm>
          <a:off x="1554578" y="2744432"/>
          <a:ext cx="1017233" cy="320582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/>
            <a:t>Database</a:t>
          </a:r>
        </a:p>
      </xdr:txBody>
    </xdr:sp>
    <xdr:clientData/>
  </xdr:twoCellAnchor>
  <xdr:twoCellAnchor>
    <xdr:from>
      <xdr:col>6</xdr:col>
      <xdr:colOff>86311</xdr:colOff>
      <xdr:row>8</xdr:row>
      <xdr:rowOff>137726</xdr:rowOff>
    </xdr:from>
    <xdr:to>
      <xdr:col>8</xdr:col>
      <xdr:colOff>277427</xdr:colOff>
      <xdr:row>9</xdr:row>
      <xdr:rowOff>178786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5DE1B60-099B-AB82-E18D-072BDE7D1E9A}"/>
            </a:ext>
          </a:extLst>
        </xdr:cNvPr>
        <xdr:cNvSpPr txBox="1"/>
      </xdr:nvSpPr>
      <xdr:spPr>
        <a:xfrm>
          <a:off x="3748350" y="1617338"/>
          <a:ext cx="1411795" cy="2260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/>
            <a:t>TOTAL EMPLOYEE</a:t>
          </a:r>
        </a:p>
      </xdr:txBody>
    </xdr:sp>
    <xdr:clientData/>
  </xdr:twoCellAnchor>
  <xdr:twoCellAnchor>
    <xdr:from>
      <xdr:col>9</xdr:col>
      <xdr:colOff>479149</xdr:colOff>
      <xdr:row>8</xdr:row>
      <xdr:rowOff>142165</xdr:rowOff>
    </xdr:from>
    <xdr:to>
      <xdr:col>12</xdr:col>
      <xdr:colOff>59924</xdr:colOff>
      <xdr:row>9</xdr:row>
      <xdr:rowOff>183225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4E49F84-77BD-DF98-9B9D-6D91C818C94B}"/>
            </a:ext>
          </a:extLst>
        </xdr:cNvPr>
        <xdr:cNvSpPr txBox="1"/>
      </xdr:nvSpPr>
      <xdr:spPr>
        <a:xfrm>
          <a:off x="5972207" y="1621777"/>
          <a:ext cx="1411795" cy="2260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/>
            <a:t>TOTAL PROFIT</a:t>
          </a:r>
        </a:p>
      </xdr:txBody>
    </xdr:sp>
    <xdr:clientData/>
  </xdr:twoCellAnchor>
  <xdr:twoCellAnchor>
    <xdr:from>
      <xdr:col>6</xdr:col>
      <xdr:colOff>76695</xdr:colOff>
      <xdr:row>11</xdr:row>
      <xdr:rowOff>115779</xdr:rowOff>
    </xdr:from>
    <xdr:to>
      <xdr:col>8</xdr:col>
      <xdr:colOff>267811</xdr:colOff>
      <xdr:row>12</xdr:row>
      <xdr:rowOff>156839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DBB0B6B1-B624-470C-3154-36D0B08081E6}"/>
            </a:ext>
          </a:extLst>
        </xdr:cNvPr>
        <xdr:cNvSpPr txBox="1"/>
      </xdr:nvSpPr>
      <xdr:spPr>
        <a:xfrm>
          <a:off x="3738734" y="2150245"/>
          <a:ext cx="1411795" cy="2260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/>
            <a:t>EMPLOYEE</a:t>
          </a:r>
          <a:r>
            <a:rPr lang="en-IN" sz="1000" baseline="0"/>
            <a:t> CHART</a:t>
          </a:r>
          <a:endParaRPr lang="en-IN" sz="1000"/>
        </a:p>
      </xdr:txBody>
    </xdr:sp>
    <xdr:clientData/>
  </xdr:twoCellAnchor>
  <xdr:twoCellAnchor>
    <xdr:from>
      <xdr:col>10</xdr:col>
      <xdr:colOff>253756</xdr:colOff>
      <xdr:row>11</xdr:row>
      <xdr:rowOff>107889</xdr:rowOff>
    </xdr:from>
    <xdr:to>
      <xdr:col>13</xdr:col>
      <xdr:colOff>308253</xdr:colOff>
      <xdr:row>12</xdr:row>
      <xdr:rowOff>154128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803EA1F-BE65-79C3-1456-F644D7F156C1}"/>
            </a:ext>
          </a:extLst>
        </xdr:cNvPr>
        <xdr:cNvSpPr txBox="1"/>
      </xdr:nvSpPr>
      <xdr:spPr>
        <a:xfrm>
          <a:off x="6357154" y="2142355"/>
          <a:ext cx="1885516" cy="231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/>
            <a:t>Status</a:t>
          </a:r>
        </a:p>
      </xdr:txBody>
    </xdr:sp>
    <xdr:clientData/>
  </xdr:twoCellAnchor>
  <xdr:twoCellAnchor>
    <xdr:from>
      <xdr:col>2</xdr:col>
      <xdr:colOff>338337</xdr:colOff>
      <xdr:row>16</xdr:row>
      <xdr:rowOff>184211</xdr:rowOff>
    </xdr:from>
    <xdr:to>
      <xdr:col>4</xdr:col>
      <xdr:colOff>134891</xdr:colOff>
      <xdr:row>18</xdr:row>
      <xdr:rowOff>134890</xdr:rowOff>
    </xdr:to>
    <xdr:sp macro="" textlink="">
      <xdr:nvSpPr>
        <xdr:cNvPr id="21" name="Oval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3669C34-55E0-8C45-31F6-B78CED0FBD14}"/>
            </a:ext>
          </a:extLst>
        </xdr:cNvPr>
        <xdr:cNvSpPr/>
      </xdr:nvSpPr>
      <xdr:spPr>
        <a:xfrm>
          <a:off x="1559017" y="3143434"/>
          <a:ext cx="1017233" cy="320582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/>
            <a:t>Salary</a:t>
          </a:r>
          <a:r>
            <a:rPr lang="en-IN" sz="700" baseline="0"/>
            <a:t> Process </a:t>
          </a:r>
          <a:endParaRPr lang="en-IN" sz="700"/>
        </a:p>
      </xdr:txBody>
    </xdr:sp>
    <xdr:clientData/>
  </xdr:twoCellAnchor>
  <xdr:twoCellAnchor>
    <xdr:from>
      <xdr:col>7</xdr:col>
      <xdr:colOff>497643</xdr:colOff>
      <xdr:row>6</xdr:row>
      <xdr:rowOff>105173</xdr:rowOff>
    </xdr:from>
    <xdr:to>
      <xdr:col>10</xdr:col>
      <xdr:colOff>78419</xdr:colOff>
      <xdr:row>8</xdr:row>
      <xdr:rowOff>86310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E8F365D-BC3D-B834-5545-9C52ACAAFA7C}"/>
            </a:ext>
          </a:extLst>
        </xdr:cNvPr>
        <xdr:cNvSpPr txBox="1"/>
      </xdr:nvSpPr>
      <xdr:spPr>
        <a:xfrm>
          <a:off x="4770022" y="1214882"/>
          <a:ext cx="1411795" cy="351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latin typeface="Aharoni" panose="020F0502020204030204" pitchFamily="2" charset="-79"/>
              <a:cs typeface="Aharoni" panose="020F0502020204030204" pitchFamily="2" charset="-79"/>
            </a:rPr>
            <a:t>Analytic</a:t>
          </a:r>
        </a:p>
      </xdr:txBody>
    </xdr:sp>
    <xdr:clientData/>
  </xdr:twoCellAnchor>
  <xdr:twoCellAnchor editAs="oneCell">
    <xdr:from>
      <xdr:col>7</xdr:col>
      <xdr:colOff>221942</xdr:colOff>
      <xdr:row>6</xdr:row>
      <xdr:rowOff>67815</xdr:rowOff>
    </xdr:from>
    <xdr:to>
      <xdr:col>7</xdr:col>
      <xdr:colOff>579515</xdr:colOff>
      <xdr:row>8</xdr:row>
      <xdr:rowOff>55485</xdr:rowOff>
    </xdr:to>
    <xdr:pic>
      <xdr:nvPicPr>
        <xdr:cNvPr id="24" name="Graphic 23" descr="Aspiration with solid fill">
          <a:extLst>
            <a:ext uri="{FF2B5EF4-FFF2-40B4-BE49-F238E27FC236}">
              <a16:creationId xmlns:a16="http://schemas.microsoft.com/office/drawing/2014/main" id="{DC314465-D1DF-EA78-621D-5712FC2A8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4494321" y="1177524"/>
          <a:ext cx="357573" cy="357573"/>
        </a:xfrm>
        <a:prstGeom prst="rect">
          <a:avLst/>
        </a:prstGeom>
      </xdr:spPr>
    </xdr:pic>
    <xdr:clientData/>
  </xdr:twoCellAnchor>
  <xdr:twoCellAnchor>
    <xdr:from>
      <xdr:col>4</xdr:col>
      <xdr:colOff>240436</xdr:colOff>
      <xdr:row>12</xdr:row>
      <xdr:rowOff>12331</xdr:rowOff>
    </xdr:from>
    <xdr:to>
      <xdr:col>8</xdr:col>
      <xdr:colOff>129466</xdr:colOff>
      <xdr:row>20</xdr:row>
      <xdr:rowOff>86312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3414BE40-0664-45B8-9D1F-A349EC61D6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548689</xdr:colOff>
      <xdr:row>13</xdr:row>
      <xdr:rowOff>6165</xdr:rowOff>
    </xdr:from>
    <xdr:to>
      <xdr:col>11</xdr:col>
      <xdr:colOff>154127</xdr:colOff>
      <xdr:row>20</xdr:row>
      <xdr:rowOff>67816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572C8440-2ADB-4CFC-BFBB-DF172E7216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oneCellAnchor>
    <xdr:from>
      <xdr:col>9</xdr:col>
      <xdr:colOff>487038</xdr:colOff>
      <xdr:row>9</xdr:row>
      <xdr:rowOff>154127</xdr:rowOff>
    </xdr:from>
    <xdr:ext cx="613630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73D9C18-6D95-8583-9D3B-6026DC1B26BE}"/>
            </a:ext>
          </a:extLst>
        </xdr:cNvPr>
        <xdr:cNvSpPr txBox="1"/>
      </xdr:nvSpPr>
      <xdr:spPr>
        <a:xfrm>
          <a:off x="5980096" y="1818690"/>
          <a:ext cx="61363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562000</a:t>
          </a:r>
          <a:endParaRPr lang="en-IN" sz="1100" b="1"/>
        </a:p>
      </xdr:txBody>
    </xdr:sp>
    <xdr:clientData/>
  </xdr:oneCellAnchor>
  <xdr:twoCellAnchor>
    <xdr:from>
      <xdr:col>7</xdr:col>
      <xdr:colOff>8879</xdr:colOff>
      <xdr:row>9</xdr:row>
      <xdr:rowOff>166456</xdr:rowOff>
    </xdr:from>
    <xdr:to>
      <xdr:col>9</xdr:col>
      <xdr:colOff>199995</xdr:colOff>
      <xdr:row>12</xdr:row>
      <xdr:rowOff>67815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F4D27284-EBDE-4985-4693-EE069B61D2A4}"/>
            </a:ext>
          </a:extLst>
        </xdr:cNvPr>
        <xdr:cNvSpPr txBox="1"/>
      </xdr:nvSpPr>
      <xdr:spPr>
        <a:xfrm>
          <a:off x="4281258" y="1831019"/>
          <a:ext cx="1411795" cy="4562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15</a:t>
          </a:r>
        </a:p>
      </xdr:txBody>
    </xdr:sp>
    <xdr:clientData/>
  </xdr:twoCellAnchor>
  <xdr:twoCellAnchor editAs="oneCell">
    <xdr:from>
      <xdr:col>6</xdr:col>
      <xdr:colOff>314419</xdr:colOff>
      <xdr:row>9</xdr:row>
      <xdr:rowOff>104805</xdr:rowOff>
    </xdr:from>
    <xdr:to>
      <xdr:col>7</xdr:col>
      <xdr:colOff>15663</xdr:colOff>
      <xdr:row>11</xdr:row>
      <xdr:rowOff>73979</xdr:rowOff>
    </xdr:to>
    <xdr:pic>
      <xdr:nvPicPr>
        <xdr:cNvPr id="31" name="Graphic 30" descr="Office worker male outline">
          <a:extLst>
            <a:ext uri="{FF2B5EF4-FFF2-40B4-BE49-F238E27FC236}">
              <a16:creationId xmlns:a16="http://schemas.microsoft.com/office/drawing/2014/main" id="{064B6FC8-9AB4-16DB-53B3-6743EF5B0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3976458" y="1769368"/>
          <a:ext cx="311584" cy="339077"/>
        </a:xfrm>
        <a:prstGeom prst="rect">
          <a:avLst/>
        </a:prstGeom>
      </xdr:spPr>
    </xdr:pic>
    <xdr:clientData/>
  </xdr:twoCellAnchor>
  <xdr:twoCellAnchor editAs="oneCell">
    <xdr:from>
      <xdr:col>2</xdr:col>
      <xdr:colOff>258932</xdr:colOff>
      <xdr:row>2</xdr:row>
      <xdr:rowOff>104806</xdr:rowOff>
    </xdr:from>
    <xdr:to>
      <xdr:col>4</xdr:col>
      <xdr:colOff>143153</xdr:colOff>
      <xdr:row>8</xdr:row>
      <xdr:rowOff>119047</xdr:rowOff>
    </xdr:to>
    <xdr:pic>
      <xdr:nvPicPr>
        <xdr:cNvPr id="33" name="Graphic 32" descr="Octagon sign">
          <a:extLst>
            <a:ext uri="{FF2B5EF4-FFF2-40B4-BE49-F238E27FC236}">
              <a16:creationId xmlns:a16="http://schemas.microsoft.com/office/drawing/2014/main" id="{ABA34275-1DA9-D576-D87A-47AD91927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1479612" y="474709"/>
          <a:ext cx="1104900" cy="1123950"/>
        </a:xfrm>
        <a:prstGeom prst="rect">
          <a:avLst/>
        </a:prstGeom>
      </xdr:spPr>
    </xdr:pic>
    <xdr:clientData/>
  </xdr:twoCellAnchor>
  <xdr:twoCellAnchor>
    <xdr:from>
      <xdr:col>2</xdr:col>
      <xdr:colOff>12330</xdr:colOff>
      <xdr:row>2</xdr:row>
      <xdr:rowOff>78420</xdr:rowOff>
    </xdr:from>
    <xdr:to>
      <xdr:col>4</xdr:col>
      <xdr:colOff>382234</xdr:colOff>
      <xdr:row>8</xdr:row>
      <xdr:rowOff>160291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696DFD6A-34DE-8483-3608-975F0D3DA9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39685</xdr:colOff>
      <xdr:row>16</xdr:row>
      <xdr:rowOff>55562</xdr:rowOff>
    </xdr:from>
    <xdr:to>
      <xdr:col>11</xdr:col>
      <xdr:colOff>928685</xdr:colOff>
      <xdr:row>18</xdr:row>
      <xdr:rowOff>31750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4E2375-9267-D492-BD41-E2B32356A998}"/>
            </a:ext>
          </a:extLst>
        </xdr:cNvPr>
        <xdr:cNvSpPr/>
      </xdr:nvSpPr>
      <xdr:spPr>
        <a:xfrm>
          <a:off x="39685" y="2976562"/>
          <a:ext cx="9453563" cy="341313"/>
        </a:xfrm>
        <a:prstGeom prst="rect">
          <a:avLst/>
        </a:prstGeom>
        <a:solidFill>
          <a:srgbClr val="C00000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400" b="1"/>
            <a:t>Click - Go</a:t>
          </a:r>
          <a:r>
            <a:rPr lang="en-IN" sz="2400" b="1" baseline="0"/>
            <a:t> To Dashboard</a:t>
          </a:r>
          <a:endParaRPr lang="en-IN" sz="24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63501</xdr:rowOff>
    </xdr:from>
    <xdr:to>
      <xdr:col>9</xdr:col>
      <xdr:colOff>12701</xdr:colOff>
      <xdr:row>18</xdr:row>
      <xdr:rowOff>12701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5541C0-7C9C-47A0-8351-B8D856F902A3}"/>
            </a:ext>
          </a:extLst>
        </xdr:cNvPr>
        <xdr:cNvSpPr/>
      </xdr:nvSpPr>
      <xdr:spPr>
        <a:xfrm>
          <a:off x="1" y="3009901"/>
          <a:ext cx="6064250" cy="317500"/>
        </a:xfrm>
        <a:prstGeom prst="rect">
          <a:avLst/>
        </a:prstGeom>
        <a:solidFill>
          <a:srgbClr val="C00000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400" b="1"/>
            <a:t>Click - Go</a:t>
          </a:r>
          <a:r>
            <a:rPr lang="en-IN" sz="2400" b="1" baseline="0"/>
            <a:t> To Dashboard</a:t>
          </a:r>
          <a:endParaRPr lang="en-IN" sz="24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31751</xdr:colOff>
      <xdr:row>15</xdr:row>
      <xdr:rowOff>171450</xdr:rowOff>
    </xdr:from>
    <xdr:to>
      <xdr:col>13</xdr:col>
      <xdr:colOff>19051</xdr:colOff>
      <xdr:row>18</xdr:row>
      <xdr:rowOff>12700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0990ED-9223-4021-BBCA-5D77F7F5E063}"/>
            </a:ext>
          </a:extLst>
        </xdr:cNvPr>
        <xdr:cNvSpPr/>
      </xdr:nvSpPr>
      <xdr:spPr>
        <a:xfrm>
          <a:off x="31751" y="2933700"/>
          <a:ext cx="7118350" cy="393700"/>
        </a:xfrm>
        <a:prstGeom prst="rect">
          <a:avLst/>
        </a:prstGeom>
        <a:solidFill>
          <a:srgbClr val="C00000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400" b="1"/>
            <a:t>Click - Go</a:t>
          </a:r>
          <a:r>
            <a:rPr lang="en-IN" sz="2400" b="1" baseline="0"/>
            <a:t> To Dashboard</a:t>
          </a:r>
          <a:endParaRPr lang="en-IN" sz="24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0</xdr:row>
      <xdr:rowOff>57150</xdr:rowOff>
    </xdr:from>
    <xdr:to>
      <xdr:col>9</xdr:col>
      <xdr:colOff>527050</xdr:colOff>
      <xdr:row>1</xdr:row>
      <xdr:rowOff>127000</xdr:rowOff>
    </xdr:to>
    <xdr:sp macro="" textlink="">
      <xdr:nvSpPr>
        <xdr:cNvPr id="3" name="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0091A6-C342-7366-8B23-9F0D37E190D7}"/>
            </a:ext>
          </a:extLst>
        </xdr:cNvPr>
        <xdr:cNvSpPr/>
      </xdr:nvSpPr>
      <xdr:spPr>
        <a:xfrm>
          <a:off x="6877050" y="57150"/>
          <a:ext cx="755650" cy="254000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Close</a:t>
          </a:r>
        </a:p>
      </xdr:txBody>
    </xdr:sp>
    <xdr:clientData/>
  </xdr:twoCellAnchor>
  <xdr:twoCellAnchor>
    <xdr:from>
      <xdr:col>7</xdr:col>
      <xdr:colOff>95250</xdr:colOff>
      <xdr:row>0</xdr:row>
      <xdr:rowOff>50800</xdr:rowOff>
    </xdr:from>
    <xdr:to>
      <xdr:col>8</xdr:col>
      <xdr:colOff>330200</xdr:colOff>
      <xdr:row>1</xdr:row>
      <xdr:rowOff>120650</xdr:rowOff>
    </xdr:to>
    <xdr:sp macro="" textlink="">
      <xdr:nvSpPr>
        <xdr:cNvPr id="4" name="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F3D9CF2-462F-8D49-C928-40FFEC594565}"/>
            </a:ext>
          </a:extLst>
        </xdr:cNvPr>
        <xdr:cNvSpPr/>
      </xdr:nvSpPr>
      <xdr:spPr>
        <a:xfrm>
          <a:off x="5822950" y="50800"/>
          <a:ext cx="1003300" cy="254000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Addendance</a:t>
          </a:r>
        </a:p>
      </xdr:txBody>
    </xdr: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9:27:52.7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24575,'0'0'-8191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mandeeps" refreshedDate="46214.628032291665" createdVersion="8" refreshedVersion="8" minRefreshableVersion="3" recordCount="15" xr:uid="{2729CE1F-F28E-4D2C-BAA4-B00A4BB73DBC}">
  <cacheSource type="worksheet">
    <worksheetSource ref="A1:K16" sheet="payroll_management_db"/>
  </cacheSource>
  <cacheFields count="11">
    <cacheField name="Emp_ID" numFmtId="0">
      <sharedItems count="15">
        <s v="EMP001"/>
        <s v="EMP002"/>
        <s v="EMP003"/>
        <s v="EMP004"/>
        <s v="EMP005"/>
        <s v="EMP006"/>
        <s v="EMP007"/>
        <s v="EMP008"/>
        <s v="EMP009"/>
        <s v="EMP010"/>
        <s v="EMP011"/>
        <s v="EMP012"/>
        <s v="EMP013"/>
        <s v="EMP014"/>
        <s v="EMP015"/>
      </sharedItems>
    </cacheField>
    <cacheField name="First_Name" numFmtId="0">
      <sharedItems count="15">
        <s v="Rahul"/>
        <s v="Simran"/>
        <s v="Amit"/>
        <s v="Neha"/>
        <s v="Vikram"/>
        <s v="Priya"/>
        <s v="Ravi"/>
        <s v="Gurpreet"/>
        <s v="Aman"/>
        <s v="Sonia"/>
        <s v="Karan"/>
        <s v="Pooja"/>
        <s v="Harjit"/>
        <s v="Manpreet"/>
        <s v="Rohit"/>
      </sharedItems>
    </cacheField>
    <cacheField name="Last_Name" numFmtId="0">
      <sharedItems count="12">
        <s v="Sharma"/>
        <s v="Kaur"/>
        <s v="Singh"/>
        <s v="Gupta"/>
        <s v="Joshi"/>
        <s v="Verma"/>
        <s v="Kumar"/>
        <s v="Deep"/>
        <s v="Bajaj"/>
        <s v="Malhotra"/>
        <s v="Rani"/>
        <s v="Bansal"/>
      </sharedItems>
    </cacheField>
    <cacheField name="Department" numFmtId="0">
      <sharedItems count="7">
        <s v="IT"/>
        <s v="HR"/>
        <s v="Sales"/>
        <s v="Admin"/>
        <s v="Marketing"/>
        <s v="Operations"/>
        <s v="Finance"/>
      </sharedItems>
    </cacheField>
    <cacheField name="Designation" numFmtId="0">
      <sharedItems/>
    </cacheField>
    <cacheField name="Joining_Date" numFmtId="0">
      <sharedItems containsDate="1" containsMixedTypes="1" minDate="2020-11-11T00:00:00" maxDate="2024-09-03T00:00:00"/>
    </cacheField>
    <cacheField name="Basic_Salary" numFmtId="0">
      <sharedItems containsSemiMixedTypes="0" containsString="0" containsNumber="1" containsInteger="1" minValue="22000" maxValue="55000"/>
    </cacheField>
    <cacheField name="HRA" numFmtId="0">
      <sharedItems containsSemiMixedTypes="0" containsString="0" containsNumber="1" containsInteger="1" minValue="3520" maxValue="8800"/>
    </cacheField>
    <cacheField name="Special_Allowance" numFmtId="0">
      <sharedItems containsSemiMixedTypes="0" containsString="0" containsNumber="1" containsInteger="1" minValue="1100" maxValue="2750"/>
    </cacheField>
    <cacheField name="PF_Deduction" numFmtId="0">
      <sharedItems containsSemiMixedTypes="0" containsString="0" containsNumber="1" containsInteger="1" minValue="660" maxValue="1650"/>
    </cacheField>
    <cacheField name="Bank_Account_N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x v="0"/>
    <x v="0"/>
    <s v="Manager"/>
    <d v="2021-10-01T00:00:00"/>
    <n v="50000"/>
    <n v="8000"/>
    <n v="2500"/>
    <n v="1500"/>
    <s v="HDFC0001234"/>
  </r>
  <r>
    <x v="1"/>
    <x v="1"/>
    <x v="1"/>
    <x v="1"/>
    <s v="Executive"/>
    <s v="15/03/2022"/>
    <n v="30000"/>
    <n v="4800"/>
    <n v="1500"/>
    <n v="900"/>
    <s v="SBI0009876"/>
  </r>
  <r>
    <x v="2"/>
    <x v="2"/>
    <x v="2"/>
    <x v="2"/>
    <s v="Lead"/>
    <s v="20/07/2020"/>
    <n v="40000"/>
    <n v="6400"/>
    <n v="2000"/>
    <n v="1200"/>
    <s v="ICICI0004567"/>
  </r>
  <r>
    <x v="3"/>
    <x v="3"/>
    <x v="3"/>
    <x v="3"/>
    <s v="Coordinator"/>
    <d v="2023-05-11T00:00:00"/>
    <n v="25000"/>
    <n v="4000"/>
    <n v="1250"/>
    <n v="750"/>
    <s v="PNB0003456"/>
  </r>
  <r>
    <x v="4"/>
    <x v="4"/>
    <x v="4"/>
    <x v="0"/>
    <s v="Developer"/>
    <d v="2021-12-02T00:00:00"/>
    <n v="45000"/>
    <n v="7200"/>
    <n v="2250"/>
    <n v="1350"/>
    <s v="HDFC0001235"/>
  </r>
  <r>
    <x v="5"/>
    <x v="5"/>
    <x v="5"/>
    <x v="4"/>
    <s v="Specialist"/>
    <d v="2023-01-09T00:00:00"/>
    <n v="35000"/>
    <n v="5600"/>
    <n v="1750"/>
    <n v="1050"/>
    <s v="AXIS0007890"/>
  </r>
  <r>
    <x v="6"/>
    <x v="6"/>
    <x v="6"/>
    <x v="0"/>
    <s v="Tester"/>
    <s v="18/05/2022"/>
    <n v="32000"/>
    <n v="5120"/>
    <n v="1600"/>
    <n v="960"/>
    <s v="SBI0009877"/>
  </r>
  <r>
    <x v="7"/>
    <x v="7"/>
    <x v="2"/>
    <x v="5"/>
    <s v="Manager"/>
    <s v="14/06/2019"/>
    <n v="48000"/>
    <n v="7680"/>
    <n v="2400"/>
    <n v="1440"/>
    <s v="HDFC0001236"/>
  </r>
  <r>
    <x v="8"/>
    <x v="8"/>
    <x v="7"/>
    <x v="0"/>
    <s v="Developer"/>
    <s v="22/08/2022"/>
    <n v="42000"/>
    <n v="6720"/>
    <n v="2100"/>
    <n v="1260"/>
    <s v="PNB0003457"/>
  </r>
  <r>
    <x v="9"/>
    <x v="9"/>
    <x v="8"/>
    <x v="1"/>
    <s v="Manager"/>
    <d v="2020-11-11T00:00:00"/>
    <n v="46000"/>
    <n v="7360"/>
    <n v="2300"/>
    <n v="1380"/>
    <s v="ICICI0004568"/>
  </r>
  <r>
    <x v="10"/>
    <x v="10"/>
    <x v="9"/>
    <x v="2"/>
    <s v="Executive"/>
    <d v="2024-09-02T00:00:00"/>
    <n v="28000"/>
    <n v="4480"/>
    <n v="1400"/>
    <n v="840"/>
    <s v="SBI0009878"/>
  </r>
  <r>
    <x v="11"/>
    <x v="11"/>
    <x v="10"/>
    <x v="6"/>
    <s v="Analyst"/>
    <s v="30/01/2021"/>
    <n v="38000"/>
    <n v="6080"/>
    <n v="1900"/>
    <n v="1140"/>
    <s v="AXIS0007891"/>
  </r>
  <r>
    <x v="12"/>
    <x v="12"/>
    <x v="2"/>
    <x v="3"/>
    <s v="Assistant"/>
    <s v="17/04/2023"/>
    <n v="22000"/>
    <n v="3520"/>
    <n v="1100"/>
    <n v="660"/>
    <s v="HDFC0001237"/>
  </r>
  <r>
    <x v="13"/>
    <x v="13"/>
    <x v="1"/>
    <x v="4"/>
    <s v="Manager"/>
    <s v="25/12/2018"/>
    <n v="55000"/>
    <n v="8800"/>
    <n v="2750"/>
    <n v="1650"/>
    <s v="PNB0003458"/>
  </r>
  <r>
    <x v="14"/>
    <x v="14"/>
    <x v="11"/>
    <x v="0"/>
    <s v="Support"/>
    <d v="2023-03-07T00:00:00"/>
    <n v="26000"/>
    <n v="4160"/>
    <n v="1300"/>
    <n v="780"/>
    <s v="SBI00098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48B3BB-62EB-4838-89F8-43DAA149CD64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44:A60" firstHeaderRow="1" firstDataRow="1" firstDataCol="1"/>
  <pivotFields count="11"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6">
        <item x="8"/>
        <item x="2"/>
        <item x="7"/>
        <item x="12"/>
        <item x="10"/>
        <item x="13"/>
        <item x="3"/>
        <item x="11"/>
        <item x="5"/>
        <item x="0"/>
        <item x="6"/>
        <item x="14"/>
        <item x="1"/>
        <item x="9"/>
        <item x="4"/>
        <item t="default"/>
      </items>
    </pivotField>
    <pivotField showAll="0">
      <items count="13">
        <item x="8"/>
        <item x="11"/>
        <item x="7"/>
        <item x="3"/>
        <item x="4"/>
        <item x="1"/>
        <item x="6"/>
        <item x="9"/>
        <item x="10"/>
        <item x="0"/>
        <item x="2"/>
        <item x="5"/>
        <item t="default"/>
      </items>
    </pivotField>
    <pivotField showAll="0">
      <items count="8">
        <item x="3"/>
        <item x="6"/>
        <item x="1"/>
        <item x="0"/>
        <item x="4"/>
        <item x="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C03523-9E01-4F80-B6E2-BFDC3D3EAD96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40:A41" firstHeaderRow="1" firstDataRow="1" firstDataCol="0"/>
  <pivotFields count="11"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6">
        <item x="8"/>
        <item x="2"/>
        <item x="7"/>
        <item x="12"/>
        <item x="10"/>
        <item x="13"/>
        <item x="3"/>
        <item x="11"/>
        <item x="5"/>
        <item x="0"/>
        <item x="6"/>
        <item x="14"/>
        <item x="1"/>
        <item x="9"/>
        <item x="4"/>
        <item t="default"/>
      </items>
    </pivotField>
    <pivotField showAll="0">
      <items count="13">
        <item x="8"/>
        <item x="11"/>
        <item x="7"/>
        <item x="3"/>
        <item x="4"/>
        <item x="1"/>
        <item x="6"/>
        <item x="9"/>
        <item x="10"/>
        <item x="0"/>
        <item x="2"/>
        <item x="5"/>
        <item t="default"/>
      </items>
    </pivotField>
    <pivotField showAll="0">
      <items count="8">
        <item x="3"/>
        <item x="6"/>
        <item x="1"/>
        <item x="0"/>
        <item x="4"/>
        <item x="5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Basic_Salary" fld="6" baseField="0" baseItem="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67869C-B090-4C5E-A31A-12FD074D0C75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22:B38" firstHeaderRow="1" firstDataRow="1" firstDataCol="1"/>
  <pivotFields count="11"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showAll="0">
      <items count="16">
        <item x="8"/>
        <item x="2"/>
        <item x="7"/>
        <item x="12"/>
        <item x="10"/>
        <item x="13"/>
        <item x="3"/>
        <item x="11"/>
        <item x="5"/>
        <item x="0"/>
        <item x="6"/>
        <item x="14"/>
        <item x="1"/>
        <item x="9"/>
        <item x="4"/>
        <item t="default"/>
      </items>
    </pivotField>
    <pivotField showAll="0">
      <items count="13">
        <item x="8"/>
        <item x="11"/>
        <item x="7"/>
        <item x="3"/>
        <item x="4"/>
        <item x="1"/>
        <item x="6"/>
        <item x="9"/>
        <item x="10"/>
        <item x="0"/>
        <item x="2"/>
        <item x="5"/>
        <item t="default"/>
      </items>
    </pivotField>
    <pivotField showAll="0">
      <items count="8">
        <item x="3"/>
        <item x="6"/>
        <item x="1"/>
        <item x="0"/>
        <item x="4"/>
        <item x="5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Basic_Salary" fld="6" baseField="0" baseItem="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40E954-3057-4AB7-81FE-E734523D14C6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9" firstHeaderRow="1" firstDataRow="1" firstDataCol="1"/>
  <pivotFields count="11"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6">
        <item x="8"/>
        <item x="2"/>
        <item x="7"/>
        <item x="12"/>
        <item x="10"/>
        <item x="13"/>
        <item x="3"/>
        <item x="11"/>
        <item x="5"/>
        <item x="0"/>
        <item x="6"/>
        <item x="14"/>
        <item x="1"/>
        <item x="9"/>
        <item x="4"/>
        <item t="default"/>
      </items>
    </pivotField>
    <pivotField showAll="0">
      <items count="13">
        <item x="8"/>
        <item x="11"/>
        <item x="7"/>
        <item x="3"/>
        <item x="4"/>
        <item x="1"/>
        <item x="6"/>
        <item x="9"/>
        <item x="10"/>
        <item x="0"/>
        <item x="2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Basic_Salary" fld="6" baseField="0" baseItem="0"/>
  </dataFields>
  <chartFormats count="32">
    <chartFormat chart="3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3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4" format="3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39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40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" format="4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" format="42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4" format="43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4" format="44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4" format="45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4" format="46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4" format="47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4" format="48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751C2-B15B-4F3E-9D3C-8203E876AEC9}">
  <dimension ref="B15"/>
  <sheetViews>
    <sheetView zoomScale="79" workbookViewId="0">
      <selection activeCell="M3" sqref="M3"/>
    </sheetView>
  </sheetViews>
  <sheetFormatPr defaultRowHeight="14.5" x14ac:dyDescent="0.35"/>
  <cols>
    <col min="1" max="16384" width="8.7265625" style="4"/>
  </cols>
  <sheetData>
    <row r="15" spans="2:2" x14ac:dyDescent="0.35">
      <c r="B15" s="4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FC9BA-31ED-419C-89F4-6B86ADE22C10}">
  <dimension ref="A1:AI34"/>
  <sheetViews>
    <sheetView zoomScale="80" workbookViewId="0"/>
  </sheetViews>
  <sheetFormatPr defaultRowHeight="14.5" x14ac:dyDescent="0.35"/>
  <cols>
    <col min="1" max="1" width="7.7265625" bestFit="1" customWidth="1"/>
    <col min="2" max="2" width="10.453125" bestFit="1" customWidth="1"/>
    <col min="3" max="3" width="10.1796875" bestFit="1" customWidth="1"/>
    <col min="4" max="5" width="10.81640625" bestFit="1" customWidth="1"/>
    <col min="6" max="6" width="11.26953125" bestFit="1" customWidth="1"/>
    <col min="7" max="7" width="11.36328125" bestFit="1" customWidth="1"/>
    <col min="8" max="8" width="5.08984375" bestFit="1" customWidth="1"/>
    <col min="9" max="9" width="16.453125" bestFit="1" customWidth="1"/>
    <col min="10" max="10" width="12.36328125" bestFit="1" customWidth="1"/>
    <col min="11" max="11" width="16" bestFit="1" customWidth="1"/>
    <col min="12" max="12" width="16.6328125" customWidth="1"/>
  </cols>
  <sheetData>
    <row r="1" spans="1:35" x14ac:dyDescent="0.35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127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spans="1:35" x14ac:dyDescent="0.35">
      <c r="A2" s="30" t="s">
        <v>11</v>
      </c>
      <c r="B2" s="30" t="s">
        <v>12</v>
      </c>
      <c r="C2" s="30" t="s">
        <v>13</v>
      </c>
      <c r="D2" s="30" t="s">
        <v>14</v>
      </c>
      <c r="E2" s="30" t="s">
        <v>15</v>
      </c>
      <c r="F2" s="30">
        <v>44470</v>
      </c>
      <c r="G2" s="30">
        <v>50000</v>
      </c>
      <c r="H2" s="30">
        <f>G2*16%</f>
        <v>8000</v>
      </c>
      <c r="I2" s="30">
        <f>G2*5%</f>
        <v>2500</v>
      </c>
      <c r="J2" s="30">
        <f>G2*3%</f>
        <v>1500</v>
      </c>
      <c r="K2" s="30" t="s">
        <v>16</v>
      </c>
      <c r="L2" s="30">
        <v>1234575755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 spans="1:35" x14ac:dyDescent="0.35">
      <c r="A3" s="37" t="s">
        <v>17</v>
      </c>
      <c r="B3" s="37" t="s">
        <v>18</v>
      </c>
      <c r="C3" s="37" t="s">
        <v>19</v>
      </c>
      <c r="D3" s="37" t="s">
        <v>20</v>
      </c>
      <c r="E3" s="37" t="s">
        <v>21</v>
      </c>
      <c r="F3" s="37" t="s">
        <v>22</v>
      </c>
      <c r="G3" s="37">
        <v>30000</v>
      </c>
      <c r="H3" s="37">
        <f t="shared" ref="H3:H16" si="0">G3*16%</f>
        <v>4800</v>
      </c>
      <c r="I3" s="37">
        <f t="shared" ref="I3:I16" si="1">G3*5%</f>
        <v>1500</v>
      </c>
      <c r="J3" s="37">
        <f t="shared" ref="J3:J20" si="2">G3*3%</f>
        <v>900</v>
      </c>
      <c r="K3" s="37" t="s">
        <v>23</v>
      </c>
      <c r="L3" s="37">
        <v>43477474743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35">
      <c r="A4" s="30" t="s">
        <v>24</v>
      </c>
      <c r="B4" s="30" t="s">
        <v>25</v>
      </c>
      <c r="C4" s="30" t="s">
        <v>26</v>
      </c>
      <c r="D4" s="30" t="s">
        <v>27</v>
      </c>
      <c r="E4" s="30" t="s">
        <v>28</v>
      </c>
      <c r="F4" s="30" t="s">
        <v>29</v>
      </c>
      <c r="G4" s="30">
        <v>40000</v>
      </c>
      <c r="H4" s="30">
        <f t="shared" si="0"/>
        <v>6400</v>
      </c>
      <c r="I4" s="30">
        <f t="shared" si="1"/>
        <v>2000</v>
      </c>
      <c r="J4" s="30">
        <f t="shared" si="2"/>
        <v>1200</v>
      </c>
      <c r="K4" s="30" t="s">
        <v>30</v>
      </c>
      <c r="L4" s="30">
        <v>85720373731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35">
      <c r="A5" s="37" t="s">
        <v>31</v>
      </c>
      <c r="B5" s="37" t="s">
        <v>32</v>
      </c>
      <c r="C5" s="37" t="s">
        <v>33</v>
      </c>
      <c r="D5" s="37" t="s">
        <v>34</v>
      </c>
      <c r="E5" s="37" t="s">
        <v>35</v>
      </c>
      <c r="F5" s="37">
        <v>45057</v>
      </c>
      <c r="G5" s="37">
        <v>25000</v>
      </c>
      <c r="H5" s="37">
        <f t="shared" si="0"/>
        <v>4000</v>
      </c>
      <c r="I5" s="37">
        <f t="shared" si="1"/>
        <v>1250</v>
      </c>
      <c r="J5" s="37">
        <f t="shared" si="2"/>
        <v>750</v>
      </c>
      <c r="K5" s="37" t="s">
        <v>36</v>
      </c>
      <c r="L5" s="37">
        <v>56464643737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35">
      <c r="A6" s="30" t="s">
        <v>37</v>
      </c>
      <c r="B6" s="30" t="s">
        <v>38</v>
      </c>
      <c r="C6" s="30" t="s">
        <v>39</v>
      </c>
      <c r="D6" s="30" t="s">
        <v>14</v>
      </c>
      <c r="E6" s="30" t="s">
        <v>40</v>
      </c>
      <c r="F6" s="30">
        <v>44532</v>
      </c>
      <c r="G6" s="30">
        <v>45000</v>
      </c>
      <c r="H6" s="30">
        <f t="shared" si="0"/>
        <v>7200</v>
      </c>
      <c r="I6" s="30">
        <f t="shared" si="1"/>
        <v>2250</v>
      </c>
      <c r="J6" s="30">
        <f t="shared" si="2"/>
        <v>1350</v>
      </c>
      <c r="K6" s="30" t="s">
        <v>41</v>
      </c>
      <c r="L6" s="30">
        <v>45558584844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35">
      <c r="A7" s="37" t="s">
        <v>42</v>
      </c>
      <c r="B7" s="37" t="s">
        <v>43</v>
      </c>
      <c r="C7" s="37" t="s">
        <v>44</v>
      </c>
      <c r="D7" s="37" t="s">
        <v>45</v>
      </c>
      <c r="E7" s="37" t="s">
        <v>46</v>
      </c>
      <c r="F7" s="37">
        <v>44935</v>
      </c>
      <c r="G7" s="37">
        <v>35000</v>
      </c>
      <c r="H7" s="37">
        <f t="shared" si="0"/>
        <v>5600</v>
      </c>
      <c r="I7" s="37">
        <f t="shared" si="1"/>
        <v>1750</v>
      </c>
      <c r="J7" s="37">
        <f t="shared" si="2"/>
        <v>1050</v>
      </c>
      <c r="K7" s="37" t="s">
        <v>47</v>
      </c>
      <c r="L7" s="37">
        <v>45454566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35">
      <c r="A8" s="30" t="s">
        <v>48</v>
      </c>
      <c r="B8" s="30" t="s">
        <v>49</v>
      </c>
      <c r="C8" s="30" t="s">
        <v>50</v>
      </c>
      <c r="D8" s="30" t="s">
        <v>14</v>
      </c>
      <c r="E8" s="30" t="s">
        <v>51</v>
      </c>
      <c r="F8" s="30" t="s">
        <v>52</v>
      </c>
      <c r="G8" s="30">
        <v>32000</v>
      </c>
      <c r="H8" s="30">
        <f t="shared" si="0"/>
        <v>5120</v>
      </c>
      <c r="I8" s="30">
        <f t="shared" si="1"/>
        <v>1600</v>
      </c>
      <c r="J8" s="30">
        <f t="shared" si="2"/>
        <v>960</v>
      </c>
      <c r="K8" s="30" t="s">
        <v>53</v>
      </c>
      <c r="L8" s="30">
        <v>64546646464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35">
      <c r="A9" s="37" t="s">
        <v>54</v>
      </c>
      <c r="B9" s="37" t="s">
        <v>55</v>
      </c>
      <c r="C9" s="37" t="s">
        <v>26</v>
      </c>
      <c r="D9" s="37" t="s">
        <v>56</v>
      </c>
      <c r="E9" s="37" t="s">
        <v>15</v>
      </c>
      <c r="F9" s="37" t="s">
        <v>57</v>
      </c>
      <c r="G9" s="37">
        <v>48000</v>
      </c>
      <c r="H9" s="37">
        <f t="shared" si="0"/>
        <v>7680</v>
      </c>
      <c r="I9" s="37">
        <f t="shared" si="1"/>
        <v>2400</v>
      </c>
      <c r="J9" s="37">
        <f t="shared" si="2"/>
        <v>1440</v>
      </c>
      <c r="K9" s="37" t="s">
        <v>58</v>
      </c>
      <c r="L9" s="37">
        <v>64646464764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35">
      <c r="A10" s="30" t="s">
        <v>59</v>
      </c>
      <c r="B10" s="30" t="s">
        <v>60</v>
      </c>
      <c r="C10" s="30" t="s">
        <v>61</v>
      </c>
      <c r="D10" s="30" t="s">
        <v>14</v>
      </c>
      <c r="E10" s="30" t="s">
        <v>40</v>
      </c>
      <c r="F10" s="30" t="s">
        <v>62</v>
      </c>
      <c r="G10" s="30">
        <v>42000</v>
      </c>
      <c r="H10" s="30">
        <f t="shared" si="0"/>
        <v>6720</v>
      </c>
      <c r="I10" s="30">
        <f t="shared" si="1"/>
        <v>2100</v>
      </c>
      <c r="J10" s="30">
        <f t="shared" si="2"/>
        <v>1260</v>
      </c>
      <c r="K10" s="30" t="s">
        <v>63</v>
      </c>
      <c r="L10" s="30">
        <v>5646466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35">
      <c r="A11" s="37" t="s">
        <v>64</v>
      </c>
      <c r="B11" s="37" t="s">
        <v>65</v>
      </c>
      <c r="C11" s="37" t="s">
        <v>66</v>
      </c>
      <c r="D11" s="37" t="s">
        <v>20</v>
      </c>
      <c r="E11" s="37" t="s">
        <v>15</v>
      </c>
      <c r="F11" s="37">
        <v>44146</v>
      </c>
      <c r="G11" s="37">
        <v>46000</v>
      </c>
      <c r="H11" s="37">
        <f t="shared" si="0"/>
        <v>7360</v>
      </c>
      <c r="I11" s="37">
        <f t="shared" si="1"/>
        <v>2300</v>
      </c>
      <c r="J11" s="37">
        <f t="shared" si="2"/>
        <v>1380</v>
      </c>
      <c r="K11" s="37" t="s">
        <v>67</v>
      </c>
      <c r="L11" s="37">
        <v>24424553253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35">
      <c r="A12" s="30" t="s">
        <v>68</v>
      </c>
      <c r="B12" s="30" t="s">
        <v>69</v>
      </c>
      <c r="C12" s="30" t="s">
        <v>70</v>
      </c>
      <c r="D12" s="30" t="s">
        <v>27</v>
      </c>
      <c r="E12" s="30" t="s">
        <v>21</v>
      </c>
      <c r="F12" s="30">
        <v>45537</v>
      </c>
      <c r="G12" s="30">
        <v>28000</v>
      </c>
      <c r="H12" s="30">
        <f t="shared" si="0"/>
        <v>4480</v>
      </c>
      <c r="I12" s="30">
        <f t="shared" si="1"/>
        <v>1400</v>
      </c>
      <c r="J12" s="30">
        <f t="shared" si="2"/>
        <v>840</v>
      </c>
      <c r="K12" s="30" t="s">
        <v>71</v>
      </c>
      <c r="L12" s="30">
        <v>757557754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35">
      <c r="A13" s="37" t="s">
        <v>72</v>
      </c>
      <c r="B13" s="37" t="s">
        <v>73</v>
      </c>
      <c r="C13" s="37" t="s">
        <v>74</v>
      </c>
      <c r="D13" s="37" t="s">
        <v>75</v>
      </c>
      <c r="E13" s="37" t="s">
        <v>76</v>
      </c>
      <c r="F13" s="37" t="s">
        <v>77</v>
      </c>
      <c r="G13" s="37">
        <v>38000</v>
      </c>
      <c r="H13" s="37">
        <f t="shared" si="0"/>
        <v>6080</v>
      </c>
      <c r="I13" s="37">
        <f t="shared" si="1"/>
        <v>1900</v>
      </c>
      <c r="J13" s="37">
        <f t="shared" si="2"/>
        <v>1140</v>
      </c>
      <c r="K13" s="37" t="s">
        <v>78</v>
      </c>
      <c r="L13" s="37">
        <v>46464646464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35">
      <c r="A14" s="30" t="s">
        <v>79</v>
      </c>
      <c r="B14" s="30" t="s">
        <v>80</v>
      </c>
      <c r="C14" s="30" t="s">
        <v>26</v>
      </c>
      <c r="D14" s="30" t="s">
        <v>34</v>
      </c>
      <c r="E14" s="30" t="s">
        <v>81</v>
      </c>
      <c r="F14" s="30" t="s">
        <v>82</v>
      </c>
      <c r="G14" s="30">
        <v>22000</v>
      </c>
      <c r="H14" s="30">
        <f t="shared" si="0"/>
        <v>3520</v>
      </c>
      <c r="I14" s="30">
        <f t="shared" si="1"/>
        <v>1100</v>
      </c>
      <c r="J14" s="30">
        <f t="shared" si="2"/>
        <v>660</v>
      </c>
      <c r="K14" s="30" t="s">
        <v>83</v>
      </c>
      <c r="L14" s="30">
        <v>466464777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35">
      <c r="A15" s="37" t="s">
        <v>84</v>
      </c>
      <c r="B15" s="37" t="s">
        <v>85</v>
      </c>
      <c r="C15" s="37" t="s">
        <v>19</v>
      </c>
      <c r="D15" s="37" t="s">
        <v>45</v>
      </c>
      <c r="E15" s="37" t="s">
        <v>15</v>
      </c>
      <c r="F15" s="37" t="s">
        <v>86</v>
      </c>
      <c r="G15" s="37">
        <v>55000</v>
      </c>
      <c r="H15" s="37">
        <f t="shared" si="0"/>
        <v>8800</v>
      </c>
      <c r="I15" s="37">
        <f t="shared" si="1"/>
        <v>2750</v>
      </c>
      <c r="J15" s="37">
        <f t="shared" si="2"/>
        <v>1650</v>
      </c>
      <c r="K15" s="37" t="s">
        <v>87</v>
      </c>
      <c r="L15" s="37">
        <v>383838383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35">
      <c r="A16" s="30" t="s">
        <v>88</v>
      </c>
      <c r="B16" s="30" t="s">
        <v>89</v>
      </c>
      <c r="C16" s="30" t="s">
        <v>90</v>
      </c>
      <c r="D16" s="30" t="s">
        <v>14</v>
      </c>
      <c r="E16" s="30" t="s">
        <v>91</v>
      </c>
      <c r="F16" s="30">
        <v>44992</v>
      </c>
      <c r="G16" s="30">
        <v>26000</v>
      </c>
      <c r="H16" s="30">
        <f t="shared" si="0"/>
        <v>4160</v>
      </c>
      <c r="I16" s="30">
        <f t="shared" si="1"/>
        <v>1300</v>
      </c>
      <c r="J16" s="30">
        <f t="shared" si="2"/>
        <v>780</v>
      </c>
      <c r="K16" s="30" t="s">
        <v>92</v>
      </c>
      <c r="L16" s="30">
        <v>858585884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35">
      <c r="A19" s="4"/>
      <c r="B19" s="4"/>
      <c r="C19" s="4"/>
      <c r="D19" s="4"/>
      <c r="E19" s="4"/>
      <c r="F19" s="4"/>
      <c r="G19" s="4"/>
      <c r="H19" s="4"/>
      <c r="I19" s="4"/>
      <c r="J19" s="4">
        <f t="shared" si="2"/>
        <v>0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35">
      <c r="A20" s="4"/>
      <c r="B20" s="4"/>
      <c r="C20" s="4"/>
      <c r="D20" s="4"/>
      <c r="E20" s="4"/>
      <c r="F20" s="4"/>
      <c r="G20" s="4"/>
      <c r="H20" s="4"/>
      <c r="I20" s="4"/>
      <c r="J20" s="4">
        <f t="shared" si="2"/>
        <v>0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35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35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35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35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35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35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80EE5-DEC6-4FAD-8B49-3D68CD9D88B1}">
  <dimension ref="A1:S44"/>
  <sheetViews>
    <sheetView workbookViewId="0">
      <selection activeCell="L8" sqref="L8"/>
    </sheetView>
  </sheetViews>
  <sheetFormatPr defaultRowHeight="14.5" x14ac:dyDescent="0.35"/>
  <cols>
    <col min="1" max="1" width="7.36328125" bestFit="1" customWidth="1"/>
    <col min="2" max="2" width="10.08984375" bestFit="1" customWidth="1"/>
    <col min="3" max="3" width="11" bestFit="1" customWidth="1"/>
    <col min="4" max="4" width="12" bestFit="1" customWidth="1"/>
    <col min="5" max="5" width="15" bestFit="1" customWidth="1"/>
    <col min="6" max="6" width="4.81640625" bestFit="1" customWidth="1"/>
    <col min="7" max="7" width="4.81640625" customWidth="1"/>
    <col min="8" max="8" width="12.08984375" bestFit="1" customWidth="1"/>
    <col min="9" max="9" width="9.453125" bestFit="1" customWidth="1"/>
  </cols>
  <sheetData>
    <row r="1" spans="1:19" x14ac:dyDescent="0.35">
      <c r="A1" s="44" t="s">
        <v>0</v>
      </c>
      <c r="B1" s="44" t="s">
        <v>1</v>
      </c>
      <c r="C1" s="44" t="s">
        <v>6</v>
      </c>
      <c r="D1" s="44" t="s">
        <v>103</v>
      </c>
      <c r="E1" s="44" t="s">
        <v>108</v>
      </c>
      <c r="F1" s="44" t="s">
        <v>7</v>
      </c>
      <c r="G1" s="44" t="s">
        <v>126</v>
      </c>
      <c r="H1" s="44" t="s">
        <v>9</v>
      </c>
      <c r="I1" s="44" t="s">
        <v>109</v>
      </c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x14ac:dyDescent="0.35">
      <c r="A2" s="2" t="s">
        <v>11</v>
      </c>
      <c r="B2" s="2" t="str">
        <f>VLOOKUP(A2,payroll_management_db!A:B,2,0)</f>
        <v>Rahul</v>
      </c>
      <c r="C2" s="2">
        <f>VLOOKUP(A2,payroll_management_db!A:G,7,0)</f>
        <v>50000</v>
      </c>
      <c r="D2" s="2">
        <f>VLOOKUP(A2,employee_payroll_system!A:M,13,0)</f>
        <v>7</v>
      </c>
      <c r="E2" s="2">
        <f>ROUND((C2/31)*D2,2)</f>
        <v>11290.32</v>
      </c>
      <c r="F2" s="2">
        <f>VLOOKUP(A2,payroll_management_db!A:H,8,0)</f>
        <v>8000</v>
      </c>
      <c r="G2" s="2">
        <f>E2*3%</f>
        <v>338.70959999999997</v>
      </c>
      <c r="H2" s="2">
        <f>VLOOKUP(A2,payroll_management_db!A:J,10,0)</f>
        <v>1500</v>
      </c>
      <c r="I2" s="2">
        <f>ROUND((E2+F2)-H2,2)</f>
        <v>17790.32</v>
      </c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x14ac:dyDescent="0.35">
      <c r="A3" s="45" t="s">
        <v>17</v>
      </c>
      <c r="B3" s="45" t="str">
        <f>VLOOKUP(A3,payroll_management_db!A:B,2,0)</f>
        <v>Simran</v>
      </c>
      <c r="C3" s="45">
        <v>30000</v>
      </c>
      <c r="D3" s="45">
        <v>6</v>
      </c>
      <c r="E3" s="45">
        <f t="shared" ref="E3:E16" si="0">ROUND((C3/31)*D3,2)</f>
        <v>5806.45</v>
      </c>
      <c r="F3" s="45">
        <f>VLOOKUP(A3,payroll_management_db!A:H,8,0)</f>
        <v>4800</v>
      </c>
      <c r="G3" s="45">
        <f t="shared" ref="G3:G16" si="1">E3*3%</f>
        <v>174.1935</v>
      </c>
      <c r="H3" s="45">
        <f>VLOOKUP(A3,payroll_management_db!A:J,10,0)</f>
        <v>900</v>
      </c>
      <c r="I3" s="45">
        <f t="shared" ref="I3:I16" si="2">ROUND((E3+F3)-H3,2)</f>
        <v>9706.4500000000007</v>
      </c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x14ac:dyDescent="0.35">
      <c r="A4" s="2" t="s">
        <v>24</v>
      </c>
      <c r="B4" s="2" t="str">
        <f>VLOOKUP(A4,payroll_management_db!A:B,2,0)</f>
        <v>Amit</v>
      </c>
      <c r="C4" s="2">
        <v>40000</v>
      </c>
      <c r="D4" s="2">
        <v>7</v>
      </c>
      <c r="E4" s="2">
        <f t="shared" si="0"/>
        <v>9032.26</v>
      </c>
      <c r="F4" s="2">
        <f>VLOOKUP(A4,payroll_management_db!A:H,8,0)</f>
        <v>6400</v>
      </c>
      <c r="G4" s="2">
        <f t="shared" si="1"/>
        <v>270.96780000000001</v>
      </c>
      <c r="H4" s="2">
        <f>VLOOKUP(A4,payroll_management_db!A:J,10,0)</f>
        <v>1200</v>
      </c>
      <c r="I4" s="2">
        <f t="shared" si="2"/>
        <v>14232.26</v>
      </c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x14ac:dyDescent="0.35">
      <c r="A5" s="45" t="s">
        <v>31</v>
      </c>
      <c r="B5" s="45" t="str">
        <f>VLOOKUP(A5,payroll_management_db!A:B,2,0)</f>
        <v>Neha</v>
      </c>
      <c r="C5" s="45">
        <v>25000</v>
      </c>
      <c r="D5" s="45">
        <v>7</v>
      </c>
      <c r="E5" s="45">
        <f t="shared" si="0"/>
        <v>5645.16</v>
      </c>
      <c r="F5" s="45">
        <f>VLOOKUP(A5,payroll_management_db!A:H,8,0)</f>
        <v>4000</v>
      </c>
      <c r="G5" s="45">
        <f t="shared" si="1"/>
        <v>169.35479999999998</v>
      </c>
      <c r="H5" s="45">
        <f>VLOOKUP(A5,payroll_management_db!A:J,10,0)</f>
        <v>750</v>
      </c>
      <c r="I5" s="45">
        <f t="shared" si="2"/>
        <v>8895.16</v>
      </c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 x14ac:dyDescent="0.35">
      <c r="A6" s="2" t="s">
        <v>37</v>
      </c>
      <c r="B6" s="2" t="str">
        <f>VLOOKUP(A6,payroll_management_db!A:B,2,0)</f>
        <v>Vikram</v>
      </c>
      <c r="C6" s="2">
        <v>45000</v>
      </c>
      <c r="D6" s="2">
        <v>7</v>
      </c>
      <c r="E6" s="2">
        <f t="shared" si="0"/>
        <v>10161.290000000001</v>
      </c>
      <c r="F6" s="2">
        <f>VLOOKUP(A6,payroll_management_db!A:H,8,0)</f>
        <v>7200</v>
      </c>
      <c r="G6" s="2">
        <f t="shared" si="1"/>
        <v>304.83870000000002</v>
      </c>
      <c r="H6" s="2">
        <f>VLOOKUP(A6,payroll_management_db!A:J,10,0)</f>
        <v>1350</v>
      </c>
      <c r="I6" s="2">
        <f t="shared" si="2"/>
        <v>16011.29</v>
      </c>
      <c r="J6" s="4"/>
      <c r="K6" s="4"/>
      <c r="L6" s="4"/>
      <c r="M6" s="4"/>
      <c r="N6" s="4"/>
      <c r="O6" s="4"/>
      <c r="P6" s="4"/>
      <c r="Q6" s="4"/>
      <c r="R6" s="4"/>
      <c r="S6" s="4"/>
    </row>
    <row r="7" spans="1:19" x14ac:dyDescent="0.35">
      <c r="A7" s="45" t="s">
        <v>42</v>
      </c>
      <c r="B7" s="45" t="str">
        <f>VLOOKUP(A7,payroll_management_db!A:B,2,0)</f>
        <v>Priya</v>
      </c>
      <c r="C7" s="45">
        <v>35000</v>
      </c>
      <c r="D7" s="45">
        <v>7</v>
      </c>
      <c r="E7" s="45">
        <f t="shared" si="0"/>
        <v>7903.23</v>
      </c>
      <c r="F7" s="45">
        <f>VLOOKUP(A7,payroll_management_db!A:H,8,0)</f>
        <v>5600</v>
      </c>
      <c r="G7" s="45">
        <f t="shared" si="1"/>
        <v>237.09689999999998</v>
      </c>
      <c r="H7" s="45">
        <f>VLOOKUP(A7,payroll_management_db!A:J,10,0)</f>
        <v>1050</v>
      </c>
      <c r="I7" s="45">
        <f t="shared" si="2"/>
        <v>12453.23</v>
      </c>
      <c r="J7" s="4"/>
      <c r="K7" s="4"/>
      <c r="L7" s="4"/>
      <c r="M7" s="4"/>
      <c r="N7" s="4"/>
      <c r="O7" s="4"/>
      <c r="P7" s="4"/>
      <c r="Q7" s="4"/>
      <c r="R7" s="4"/>
      <c r="S7" s="4"/>
    </row>
    <row r="8" spans="1:19" x14ac:dyDescent="0.35">
      <c r="A8" s="2" t="s">
        <v>48</v>
      </c>
      <c r="B8" s="2" t="str">
        <f>VLOOKUP(A8,payroll_management_db!A:B,2,0)</f>
        <v>Ravi</v>
      </c>
      <c r="C8" s="2">
        <v>32000</v>
      </c>
      <c r="D8" s="2">
        <v>7</v>
      </c>
      <c r="E8" s="2">
        <f t="shared" si="0"/>
        <v>7225.81</v>
      </c>
      <c r="F8" s="2">
        <f>VLOOKUP(A8,payroll_management_db!A:H,8,0)</f>
        <v>5120</v>
      </c>
      <c r="G8" s="2">
        <f t="shared" si="1"/>
        <v>216.77430000000001</v>
      </c>
      <c r="H8" s="2">
        <f>VLOOKUP(A8,payroll_management_db!A:J,10,0)</f>
        <v>960</v>
      </c>
      <c r="I8" s="2">
        <f t="shared" si="2"/>
        <v>11385.81</v>
      </c>
      <c r="J8" s="4"/>
      <c r="K8" s="4"/>
      <c r="L8" s="4"/>
      <c r="M8" s="4"/>
      <c r="N8" s="4"/>
      <c r="O8" s="4"/>
      <c r="P8" s="4"/>
      <c r="Q8" s="4"/>
      <c r="R8" s="4"/>
      <c r="S8" s="4"/>
    </row>
    <row r="9" spans="1:19" x14ac:dyDescent="0.35">
      <c r="A9" s="45" t="s">
        <v>54</v>
      </c>
      <c r="B9" s="45" t="str">
        <f>VLOOKUP(A9,payroll_management_db!A:B,2,0)</f>
        <v>Gurpreet</v>
      </c>
      <c r="C9" s="45">
        <v>48000</v>
      </c>
      <c r="D9" s="45">
        <v>6</v>
      </c>
      <c r="E9" s="45">
        <f t="shared" si="0"/>
        <v>9290.32</v>
      </c>
      <c r="F9" s="45">
        <f>VLOOKUP(A9,payroll_management_db!A:H,8,0)</f>
        <v>7680</v>
      </c>
      <c r="G9" s="45">
        <f t="shared" si="1"/>
        <v>278.70959999999997</v>
      </c>
      <c r="H9" s="45">
        <f>VLOOKUP(A9,payroll_management_db!A:J,10,0)</f>
        <v>1440</v>
      </c>
      <c r="I9" s="45">
        <f t="shared" si="2"/>
        <v>15530.32</v>
      </c>
      <c r="J9" s="4"/>
      <c r="K9" s="4"/>
      <c r="L9" s="4"/>
      <c r="M9" s="4"/>
      <c r="N9" s="4"/>
      <c r="O9" s="4"/>
      <c r="P9" s="4"/>
      <c r="Q9" s="4"/>
      <c r="R9" s="4"/>
      <c r="S9" s="4"/>
    </row>
    <row r="10" spans="1:19" x14ac:dyDescent="0.35">
      <c r="A10" s="2" t="s">
        <v>59</v>
      </c>
      <c r="B10" s="2" t="str">
        <f>VLOOKUP(A10,payroll_management_db!A:B,2,0)</f>
        <v>Aman</v>
      </c>
      <c r="C10" s="2">
        <v>42000</v>
      </c>
      <c r="D10" s="2">
        <v>7</v>
      </c>
      <c r="E10" s="2">
        <f t="shared" si="0"/>
        <v>9483.8700000000008</v>
      </c>
      <c r="F10" s="2">
        <f>VLOOKUP(A10,payroll_management_db!A:H,8,0)</f>
        <v>6720</v>
      </c>
      <c r="G10" s="2">
        <f t="shared" si="1"/>
        <v>284.51609999999999</v>
      </c>
      <c r="H10" s="2">
        <f>VLOOKUP(A10,payroll_management_db!A:J,10,0)</f>
        <v>1260</v>
      </c>
      <c r="I10" s="2">
        <f t="shared" si="2"/>
        <v>14943.87</v>
      </c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19" x14ac:dyDescent="0.35">
      <c r="A11" s="45" t="s">
        <v>64</v>
      </c>
      <c r="B11" s="45" t="str">
        <f>VLOOKUP(A11,payroll_management_db!A:B,2,0)</f>
        <v>Sonia</v>
      </c>
      <c r="C11" s="45">
        <v>46000</v>
      </c>
      <c r="D11" s="45">
        <v>5</v>
      </c>
      <c r="E11" s="45">
        <f t="shared" si="0"/>
        <v>7419.35</v>
      </c>
      <c r="F11" s="45">
        <f>VLOOKUP(A11,payroll_management_db!A:H,8,0)</f>
        <v>7360</v>
      </c>
      <c r="G11" s="45">
        <f t="shared" si="1"/>
        <v>222.5805</v>
      </c>
      <c r="H11" s="45">
        <f>VLOOKUP(A11,payroll_management_db!A:J,10,0)</f>
        <v>1380</v>
      </c>
      <c r="I11" s="45">
        <f t="shared" si="2"/>
        <v>13399.35</v>
      </c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19" x14ac:dyDescent="0.35">
      <c r="A12" s="2" t="s">
        <v>68</v>
      </c>
      <c r="B12" s="2" t="str">
        <f>VLOOKUP(A12,payroll_management_db!A:B,2,0)</f>
        <v>Karan</v>
      </c>
      <c r="C12" s="2">
        <v>28000</v>
      </c>
      <c r="D12" s="2">
        <v>7</v>
      </c>
      <c r="E12" s="2">
        <f t="shared" si="0"/>
        <v>6322.58</v>
      </c>
      <c r="F12" s="2">
        <f>VLOOKUP(A12,payroll_management_db!A:H,8,0)</f>
        <v>4480</v>
      </c>
      <c r="G12" s="2">
        <f t="shared" si="1"/>
        <v>189.67739999999998</v>
      </c>
      <c r="H12" s="2">
        <f>VLOOKUP(A12,payroll_management_db!A:J,10,0)</f>
        <v>840</v>
      </c>
      <c r="I12" s="2">
        <f t="shared" si="2"/>
        <v>9962.58</v>
      </c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19" x14ac:dyDescent="0.35">
      <c r="A13" s="45" t="s">
        <v>72</v>
      </c>
      <c r="B13" s="45" t="str">
        <f>VLOOKUP(A13,payroll_management_db!A:B,2,0)</f>
        <v>Pooja</v>
      </c>
      <c r="C13" s="45">
        <v>38000</v>
      </c>
      <c r="D13" s="45">
        <v>7</v>
      </c>
      <c r="E13" s="45">
        <f t="shared" si="0"/>
        <v>8580.65</v>
      </c>
      <c r="F13" s="45">
        <f>VLOOKUP(A13,payroll_management_db!A:H,8,0)</f>
        <v>6080</v>
      </c>
      <c r="G13" s="45">
        <f t="shared" si="1"/>
        <v>257.41949999999997</v>
      </c>
      <c r="H13" s="45">
        <f>VLOOKUP(A13,payroll_management_db!A:J,10,0)</f>
        <v>1140</v>
      </c>
      <c r="I13" s="45">
        <f t="shared" si="2"/>
        <v>13520.65</v>
      </c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19" x14ac:dyDescent="0.35">
      <c r="A14" s="2" t="s">
        <v>79</v>
      </c>
      <c r="B14" s="2" t="str">
        <f>VLOOKUP(A14,payroll_management_db!A:B,2,0)</f>
        <v>Harjit</v>
      </c>
      <c r="C14" s="2">
        <v>22000</v>
      </c>
      <c r="D14" s="2">
        <v>7</v>
      </c>
      <c r="E14" s="2">
        <f t="shared" si="0"/>
        <v>4967.74</v>
      </c>
      <c r="F14" s="2">
        <f>VLOOKUP(A14,payroll_management_db!A:H,8,0)</f>
        <v>3520</v>
      </c>
      <c r="G14" s="2">
        <f t="shared" si="1"/>
        <v>149.03219999999999</v>
      </c>
      <c r="H14" s="2">
        <f>VLOOKUP(A14,payroll_management_db!A:J,10,0)</f>
        <v>660</v>
      </c>
      <c r="I14" s="2">
        <f t="shared" si="2"/>
        <v>7827.74</v>
      </c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19" x14ac:dyDescent="0.35">
      <c r="A15" s="45" t="s">
        <v>84</v>
      </c>
      <c r="B15" s="45" t="str">
        <f>VLOOKUP(A15,payroll_management_db!A:B,2,0)</f>
        <v>Manpreet</v>
      </c>
      <c r="C15" s="45">
        <v>55000</v>
      </c>
      <c r="D15" s="45">
        <v>7</v>
      </c>
      <c r="E15" s="45">
        <f t="shared" si="0"/>
        <v>12419.35</v>
      </c>
      <c r="F15" s="45">
        <f>VLOOKUP(A15,payroll_management_db!A:H,8,0)</f>
        <v>8800</v>
      </c>
      <c r="G15" s="45">
        <f t="shared" si="1"/>
        <v>372.58049999999997</v>
      </c>
      <c r="H15" s="45">
        <f>VLOOKUP(A15,payroll_management_db!A:J,10,0)</f>
        <v>1650</v>
      </c>
      <c r="I15" s="45">
        <f t="shared" si="2"/>
        <v>19569.349999999999</v>
      </c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19" x14ac:dyDescent="0.35">
      <c r="A16" s="2" t="s">
        <v>88</v>
      </c>
      <c r="B16" s="2" t="str">
        <f>VLOOKUP(A16,payroll_management_db!A:B,2,0)</f>
        <v>Rohit</v>
      </c>
      <c r="C16" s="2">
        <v>26000</v>
      </c>
      <c r="D16" s="2">
        <v>6</v>
      </c>
      <c r="E16" s="2">
        <f t="shared" si="0"/>
        <v>5032.26</v>
      </c>
      <c r="F16" s="2">
        <f>VLOOKUP(A16,payroll_management_db!A:H,8,0)</f>
        <v>4160</v>
      </c>
      <c r="G16" s="2">
        <f t="shared" si="1"/>
        <v>150.96780000000001</v>
      </c>
      <c r="H16" s="2">
        <f>VLOOKUP(A16,payroll_management_db!A:J,10,0)</f>
        <v>780</v>
      </c>
      <c r="I16" s="2">
        <f t="shared" si="2"/>
        <v>8412.26</v>
      </c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1:19" x14ac:dyDescent="0.35">
      <c r="A17" s="38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1:19" x14ac:dyDescent="0.35">
      <c r="A18" s="38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1:19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19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pans="1:19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pans="1:19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pans="1:19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pans="1:19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1:19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1:19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pans="1:19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 spans="1:19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spans="1:19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spans="1:19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 spans="1:19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spans="1:19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spans="1:19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spans="1:19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spans="1:19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spans="1:19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spans="1:19" x14ac:dyDescent="0.35">
      <c r="J37" s="4"/>
      <c r="K37" s="4"/>
      <c r="L37" s="4"/>
      <c r="M37" s="4"/>
      <c r="N37" s="4"/>
      <c r="O37" s="4"/>
      <c r="P37" s="4"/>
      <c r="Q37" s="4"/>
      <c r="R37" s="4"/>
      <c r="S37" s="4"/>
    </row>
    <row r="38" spans="1:19" x14ac:dyDescent="0.35">
      <c r="J38" s="4"/>
      <c r="K38" s="4"/>
      <c r="L38" s="4"/>
      <c r="M38" s="4"/>
      <c r="N38" s="4"/>
      <c r="O38" s="4"/>
      <c r="P38" s="4"/>
      <c r="Q38" s="4"/>
      <c r="R38" s="4"/>
      <c r="S38" s="4"/>
    </row>
    <row r="39" spans="1:19" x14ac:dyDescent="0.35">
      <c r="J39" s="4"/>
      <c r="K39" s="4"/>
      <c r="L39" s="4"/>
      <c r="M39" s="4"/>
      <c r="N39" s="4"/>
      <c r="O39" s="4"/>
      <c r="P39" s="4"/>
      <c r="Q39" s="4"/>
      <c r="R39" s="4"/>
      <c r="S39" s="4"/>
    </row>
    <row r="40" spans="1:19" x14ac:dyDescent="0.35">
      <c r="J40" s="4"/>
      <c r="K40" s="4"/>
      <c r="L40" s="4"/>
      <c r="M40" s="4"/>
      <c r="N40" s="4"/>
      <c r="O40" s="4"/>
      <c r="P40" s="4"/>
      <c r="Q40" s="4"/>
      <c r="R40" s="4"/>
      <c r="S40" s="4"/>
    </row>
    <row r="41" spans="1:19" x14ac:dyDescent="0.35">
      <c r="J41" s="4"/>
      <c r="K41" s="4"/>
      <c r="L41" s="4"/>
      <c r="M41" s="4"/>
      <c r="N41" s="4"/>
      <c r="O41" s="4"/>
      <c r="P41" s="4"/>
      <c r="Q41" s="4"/>
      <c r="R41" s="4"/>
      <c r="S41" s="4"/>
    </row>
    <row r="42" spans="1:19" x14ac:dyDescent="0.35">
      <c r="J42" s="4"/>
      <c r="K42" s="4"/>
      <c r="L42" s="4"/>
      <c r="M42" s="4"/>
      <c r="N42" s="4"/>
      <c r="O42" s="4"/>
      <c r="P42" s="4"/>
      <c r="Q42" s="4"/>
      <c r="R42" s="4"/>
      <c r="S42" s="4"/>
    </row>
    <row r="43" spans="1:19" x14ac:dyDescent="0.35">
      <c r="J43" s="4"/>
      <c r="K43" s="4"/>
      <c r="L43" s="4"/>
      <c r="M43" s="4"/>
      <c r="N43" s="4"/>
      <c r="O43" s="4"/>
      <c r="P43" s="4"/>
      <c r="Q43" s="4"/>
      <c r="R43" s="4"/>
      <c r="S43" s="4"/>
    </row>
    <row r="44" spans="1:19" x14ac:dyDescent="0.35">
      <c r="J44" s="4"/>
      <c r="K44" s="4"/>
      <c r="L44" s="4"/>
      <c r="M44" s="4"/>
      <c r="N44" s="4"/>
      <c r="O44" s="4"/>
      <c r="P44" s="4"/>
      <c r="Q44" s="4"/>
      <c r="R44" s="4"/>
      <c r="S44" s="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8E89D-B49C-48F1-AFCE-85D3F5F5A1C6}">
  <dimension ref="A1:V25"/>
  <sheetViews>
    <sheetView workbookViewId="0"/>
  </sheetViews>
  <sheetFormatPr defaultRowHeight="14.5" x14ac:dyDescent="0.35"/>
  <cols>
    <col min="1" max="1" width="7.36328125" bestFit="1" customWidth="1"/>
    <col min="2" max="2" width="10.08984375" bestFit="1" customWidth="1"/>
    <col min="3" max="3" width="6.08984375" bestFit="1" customWidth="1"/>
    <col min="4" max="4" width="5.54296875" bestFit="1" customWidth="1"/>
    <col min="5" max="5" width="6.26953125" bestFit="1" customWidth="1"/>
    <col min="6" max="6" width="5.54296875" bestFit="1" customWidth="1"/>
    <col min="7" max="7" width="4.7265625" bestFit="1" customWidth="1"/>
    <col min="8" max="8" width="5.26953125" bestFit="1" customWidth="1"/>
    <col min="9" max="9" width="5.6328125" bestFit="1" customWidth="1"/>
    <col min="10" max="10" width="11.90625" bestFit="1" customWidth="1"/>
    <col min="11" max="11" width="11.26953125" bestFit="1" customWidth="1"/>
    <col min="12" max="12" width="10.36328125" bestFit="1" customWidth="1"/>
    <col min="13" max="13" width="12" bestFit="1" customWidth="1"/>
  </cols>
  <sheetData>
    <row r="1" spans="1:22" x14ac:dyDescent="0.35">
      <c r="A1" s="36" t="s">
        <v>0</v>
      </c>
      <c r="B1" s="36" t="s">
        <v>1</v>
      </c>
      <c r="C1" s="36" t="s">
        <v>93</v>
      </c>
      <c r="D1" s="36" t="s">
        <v>94</v>
      </c>
      <c r="E1" s="36" t="s">
        <v>95</v>
      </c>
      <c r="F1" s="36" t="s">
        <v>96</v>
      </c>
      <c r="G1" s="36" t="s">
        <v>97</v>
      </c>
      <c r="H1" s="36" t="s">
        <v>98</v>
      </c>
      <c r="I1" s="36" t="s">
        <v>99</v>
      </c>
      <c r="J1" s="36" t="s">
        <v>100</v>
      </c>
      <c r="K1" s="36" t="s">
        <v>101</v>
      </c>
      <c r="L1" s="36" t="s">
        <v>102</v>
      </c>
      <c r="M1" s="36" t="s">
        <v>103</v>
      </c>
    </row>
    <row r="2" spans="1:22" x14ac:dyDescent="0.35">
      <c r="A2" s="30" t="s">
        <v>11</v>
      </c>
      <c r="B2" s="30" t="s">
        <v>12</v>
      </c>
      <c r="C2" s="30" t="s">
        <v>104</v>
      </c>
      <c r="D2" s="30" t="s">
        <v>104</v>
      </c>
      <c r="E2" s="30" t="s">
        <v>104</v>
      </c>
      <c r="F2" s="30" t="s">
        <v>104</v>
      </c>
      <c r="G2" s="30" t="s">
        <v>107</v>
      </c>
      <c r="H2" s="30" t="s">
        <v>105</v>
      </c>
      <c r="I2" s="30" t="s">
        <v>105</v>
      </c>
      <c r="J2" s="30">
        <f>COUNTIF(C2:I2,"p")</f>
        <v>4</v>
      </c>
      <c r="K2" s="30">
        <f>COUNTIF(C2:I2,"a")</f>
        <v>0</v>
      </c>
      <c r="L2" s="30">
        <f>COUNTIF(C2:I2,"l")</f>
        <v>1</v>
      </c>
      <c r="M2" s="30">
        <f>SUM(COUNTIF(C2:I2, "P"), COUNTIF(C2:I2, "L"), COUNTIF(C2:I2, "H"))</f>
        <v>7</v>
      </c>
      <c r="N2" s="4"/>
      <c r="O2" s="4"/>
      <c r="P2" s="4"/>
      <c r="Q2" s="4"/>
      <c r="R2" s="4"/>
      <c r="S2" s="4"/>
      <c r="T2" s="4"/>
      <c r="U2" s="4"/>
      <c r="V2" s="4"/>
    </row>
    <row r="3" spans="1:22" x14ac:dyDescent="0.35">
      <c r="A3" s="37" t="s">
        <v>17</v>
      </c>
      <c r="B3" s="37" t="s">
        <v>18</v>
      </c>
      <c r="C3" s="37" t="s">
        <v>104</v>
      </c>
      <c r="D3" s="37" t="s">
        <v>104</v>
      </c>
      <c r="E3" s="37" t="s">
        <v>104</v>
      </c>
      <c r="F3" s="37" t="s">
        <v>104</v>
      </c>
      <c r="G3" s="37" t="s">
        <v>104</v>
      </c>
      <c r="H3" s="37" t="s">
        <v>105</v>
      </c>
      <c r="I3" s="37" t="s">
        <v>105</v>
      </c>
      <c r="J3" s="37">
        <f t="shared" ref="J3:J16" si="0">COUNTIF(C3:I3,"p")</f>
        <v>5</v>
      </c>
      <c r="K3" s="37">
        <f t="shared" ref="K3:K16" si="1">COUNTIF(C3:I3,"a")</f>
        <v>0</v>
      </c>
      <c r="L3" s="37">
        <f t="shared" ref="L3:L15" si="2">COUNTIF(C3:I3,"l")</f>
        <v>0</v>
      </c>
      <c r="M3" s="37">
        <f t="shared" ref="M3:M16" si="3">SUM(COUNTIF(C3:I3, "P"), COUNTIF(C3:I3, "L"), COUNTIF(C3:I3, "H"))</f>
        <v>7</v>
      </c>
      <c r="N3" s="4"/>
      <c r="O3" s="4"/>
      <c r="P3" s="4"/>
      <c r="Q3" s="4"/>
      <c r="R3" s="4"/>
      <c r="S3" s="4"/>
      <c r="T3" s="4"/>
      <c r="U3" s="4"/>
      <c r="V3" s="4"/>
    </row>
    <row r="4" spans="1:22" x14ac:dyDescent="0.35">
      <c r="A4" s="30" t="s">
        <v>24</v>
      </c>
      <c r="B4" s="30" t="s">
        <v>25</v>
      </c>
      <c r="C4" s="30" t="s">
        <v>104</v>
      </c>
      <c r="D4" s="30" t="s">
        <v>104</v>
      </c>
      <c r="E4" s="30" t="s">
        <v>104</v>
      </c>
      <c r="F4" s="30" t="s">
        <v>104</v>
      </c>
      <c r="G4" s="30" t="s">
        <v>104</v>
      </c>
      <c r="H4" s="30" t="s">
        <v>105</v>
      </c>
      <c r="I4" s="30" t="s">
        <v>105</v>
      </c>
      <c r="J4" s="30">
        <f t="shared" si="0"/>
        <v>5</v>
      </c>
      <c r="K4" s="30">
        <f t="shared" si="1"/>
        <v>0</v>
      </c>
      <c r="L4" s="30">
        <f t="shared" si="2"/>
        <v>0</v>
      </c>
      <c r="M4" s="30">
        <f t="shared" si="3"/>
        <v>7</v>
      </c>
      <c r="N4" s="4"/>
      <c r="O4" s="4"/>
      <c r="P4" s="4"/>
      <c r="Q4" s="4"/>
      <c r="R4" s="4"/>
      <c r="S4" s="4"/>
      <c r="T4" s="4"/>
      <c r="U4" s="4"/>
      <c r="V4" s="4"/>
    </row>
    <row r="5" spans="1:22" x14ac:dyDescent="0.35">
      <c r="A5" s="37" t="s">
        <v>31</v>
      </c>
      <c r="B5" s="37" t="s">
        <v>32</v>
      </c>
      <c r="C5" s="37" t="s">
        <v>107</v>
      </c>
      <c r="D5" s="37" t="s">
        <v>107</v>
      </c>
      <c r="E5" s="37" t="s">
        <v>104</v>
      </c>
      <c r="F5" s="37" t="s">
        <v>104</v>
      </c>
      <c r="G5" s="37" t="s">
        <v>104</v>
      </c>
      <c r="H5" s="37" t="s">
        <v>105</v>
      </c>
      <c r="I5" s="37" t="s">
        <v>105</v>
      </c>
      <c r="J5" s="37">
        <f t="shared" si="0"/>
        <v>3</v>
      </c>
      <c r="K5" s="37">
        <f t="shared" si="1"/>
        <v>0</v>
      </c>
      <c r="L5" s="37">
        <f t="shared" si="2"/>
        <v>2</v>
      </c>
      <c r="M5" s="37">
        <f t="shared" si="3"/>
        <v>7</v>
      </c>
      <c r="N5" s="4"/>
      <c r="O5" s="4"/>
      <c r="P5" s="4"/>
      <c r="Q5" s="4"/>
      <c r="R5" s="4"/>
      <c r="S5" s="4"/>
      <c r="T5" s="4"/>
      <c r="U5" s="4"/>
      <c r="V5" s="4"/>
    </row>
    <row r="6" spans="1:22" x14ac:dyDescent="0.35">
      <c r="A6" s="30" t="s">
        <v>37</v>
      </c>
      <c r="B6" s="30" t="s">
        <v>38</v>
      </c>
      <c r="C6" s="30" t="s">
        <v>104</v>
      </c>
      <c r="D6" s="30" t="s">
        <v>104</v>
      </c>
      <c r="E6" s="30" t="s">
        <v>104</v>
      </c>
      <c r="F6" s="30" t="s">
        <v>104</v>
      </c>
      <c r="G6" s="30" t="s">
        <v>104</v>
      </c>
      <c r="H6" s="30" t="s">
        <v>105</v>
      </c>
      <c r="I6" s="30" t="s">
        <v>105</v>
      </c>
      <c r="J6" s="30">
        <f t="shared" si="0"/>
        <v>5</v>
      </c>
      <c r="K6" s="30">
        <f t="shared" si="1"/>
        <v>0</v>
      </c>
      <c r="L6" s="30">
        <f t="shared" si="2"/>
        <v>0</v>
      </c>
      <c r="M6" s="30">
        <f t="shared" si="3"/>
        <v>7</v>
      </c>
      <c r="N6" s="4"/>
      <c r="O6" s="4"/>
      <c r="P6" s="4"/>
      <c r="Q6" s="4"/>
      <c r="R6" s="4"/>
      <c r="S6" s="4"/>
      <c r="T6" s="4"/>
      <c r="U6" s="4"/>
      <c r="V6" s="4"/>
    </row>
    <row r="7" spans="1:22" x14ac:dyDescent="0.35">
      <c r="A7" s="37" t="s">
        <v>42</v>
      </c>
      <c r="B7" s="37" t="s">
        <v>43</v>
      </c>
      <c r="C7" s="37" t="s">
        <v>104</v>
      </c>
      <c r="D7" s="37" t="s">
        <v>104</v>
      </c>
      <c r="E7" s="37" t="s">
        <v>104</v>
      </c>
      <c r="F7" s="37" t="s">
        <v>107</v>
      </c>
      <c r="G7" s="37" t="s">
        <v>107</v>
      </c>
      <c r="H7" s="37" t="s">
        <v>105</v>
      </c>
      <c r="I7" s="37" t="s">
        <v>105</v>
      </c>
      <c r="J7" s="37">
        <f t="shared" si="0"/>
        <v>3</v>
      </c>
      <c r="K7" s="37">
        <f t="shared" si="1"/>
        <v>0</v>
      </c>
      <c r="L7" s="37">
        <f t="shared" si="2"/>
        <v>2</v>
      </c>
      <c r="M7" s="37">
        <f t="shared" si="3"/>
        <v>7</v>
      </c>
      <c r="N7" s="4"/>
      <c r="O7" s="4"/>
      <c r="P7" s="4"/>
      <c r="Q7" s="4"/>
      <c r="R7" s="4"/>
      <c r="S7" s="4"/>
      <c r="T7" s="4"/>
      <c r="U7" s="4"/>
      <c r="V7" s="4"/>
    </row>
    <row r="8" spans="1:22" x14ac:dyDescent="0.35">
      <c r="A8" s="30" t="s">
        <v>48</v>
      </c>
      <c r="B8" s="30" t="s">
        <v>49</v>
      </c>
      <c r="C8" s="30" t="s">
        <v>104</v>
      </c>
      <c r="D8" s="30" t="s">
        <v>104</v>
      </c>
      <c r="E8" s="30" t="s">
        <v>104</v>
      </c>
      <c r="F8" s="30" t="s">
        <v>104</v>
      </c>
      <c r="G8" s="30" t="s">
        <v>104</v>
      </c>
      <c r="H8" s="30" t="s">
        <v>105</v>
      </c>
      <c r="I8" s="30" t="s">
        <v>105</v>
      </c>
      <c r="J8" s="30">
        <f t="shared" si="0"/>
        <v>5</v>
      </c>
      <c r="K8" s="30">
        <f t="shared" si="1"/>
        <v>0</v>
      </c>
      <c r="L8" s="30">
        <f t="shared" si="2"/>
        <v>0</v>
      </c>
      <c r="M8" s="30">
        <f t="shared" si="3"/>
        <v>7</v>
      </c>
      <c r="N8" s="4"/>
      <c r="O8" s="4"/>
      <c r="P8" s="4"/>
      <c r="Q8" s="4"/>
      <c r="R8" s="4"/>
      <c r="S8" s="4"/>
      <c r="T8" s="4"/>
      <c r="U8" s="4"/>
      <c r="V8" s="4"/>
    </row>
    <row r="9" spans="1:22" x14ac:dyDescent="0.35">
      <c r="A9" s="37" t="s">
        <v>54</v>
      </c>
      <c r="B9" s="37" t="s">
        <v>55</v>
      </c>
      <c r="C9" s="37" t="s">
        <v>104</v>
      </c>
      <c r="D9" s="37" t="s">
        <v>104</v>
      </c>
      <c r="E9" s="37" t="s">
        <v>104</v>
      </c>
      <c r="F9" s="37" t="s">
        <v>104</v>
      </c>
      <c r="G9" s="37" t="s">
        <v>106</v>
      </c>
      <c r="H9" s="37" t="s">
        <v>105</v>
      </c>
      <c r="I9" s="37" t="s">
        <v>105</v>
      </c>
      <c r="J9" s="37">
        <f t="shared" si="0"/>
        <v>4</v>
      </c>
      <c r="K9" s="37">
        <f t="shared" si="1"/>
        <v>1</v>
      </c>
      <c r="L9" s="37">
        <f t="shared" si="2"/>
        <v>0</v>
      </c>
      <c r="M9" s="37">
        <f t="shared" si="3"/>
        <v>6</v>
      </c>
      <c r="N9" s="4"/>
      <c r="O9" s="4"/>
      <c r="P9" s="4"/>
      <c r="Q9" s="4"/>
      <c r="R9" s="4"/>
      <c r="S9" s="4"/>
      <c r="T9" s="4"/>
      <c r="U9" s="4"/>
      <c r="V9" s="4"/>
    </row>
    <row r="10" spans="1:22" x14ac:dyDescent="0.35">
      <c r="A10" s="30" t="s">
        <v>59</v>
      </c>
      <c r="B10" s="30" t="s">
        <v>60</v>
      </c>
      <c r="C10" s="30" t="s">
        <v>104</v>
      </c>
      <c r="D10" s="30" t="s">
        <v>104</v>
      </c>
      <c r="E10" s="30" t="s">
        <v>104</v>
      </c>
      <c r="F10" s="30" t="s">
        <v>104</v>
      </c>
      <c r="G10" s="30" t="s">
        <v>104</v>
      </c>
      <c r="H10" s="30" t="s">
        <v>105</v>
      </c>
      <c r="I10" s="30" t="s">
        <v>105</v>
      </c>
      <c r="J10" s="30">
        <f t="shared" si="0"/>
        <v>5</v>
      </c>
      <c r="K10" s="30">
        <f t="shared" si="1"/>
        <v>0</v>
      </c>
      <c r="L10" s="30">
        <f t="shared" si="2"/>
        <v>0</v>
      </c>
      <c r="M10" s="30">
        <f t="shared" si="3"/>
        <v>7</v>
      </c>
      <c r="N10" s="4"/>
      <c r="O10" s="4"/>
      <c r="P10" s="4"/>
      <c r="Q10" s="4"/>
      <c r="R10" s="4"/>
      <c r="S10" s="4"/>
      <c r="T10" s="4"/>
      <c r="U10" s="4"/>
      <c r="V10" s="4"/>
    </row>
    <row r="11" spans="1:22" x14ac:dyDescent="0.35">
      <c r="A11" s="37" t="s">
        <v>64</v>
      </c>
      <c r="B11" s="37" t="s">
        <v>65</v>
      </c>
      <c r="C11" s="37" t="s">
        <v>104</v>
      </c>
      <c r="D11" s="37" t="s">
        <v>106</v>
      </c>
      <c r="E11" s="37" t="s">
        <v>106</v>
      </c>
      <c r="F11" s="37" t="s">
        <v>104</v>
      </c>
      <c r="G11" s="37" t="s">
        <v>104</v>
      </c>
      <c r="H11" s="37" t="s">
        <v>105</v>
      </c>
      <c r="I11" s="37" t="s">
        <v>105</v>
      </c>
      <c r="J11" s="37">
        <f t="shared" si="0"/>
        <v>3</v>
      </c>
      <c r="K11" s="37">
        <f t="shared" si="1"/>
        <v>2</v>
      </c>
      <c r="L11" s="37">
        <f t="shared" si="2"/>
        <v>0</v>
      </c>
      <c r="M11" s="37">
        <f t="shared" si="3"/>
        <v>5</v>
      </c>
      <c r="N11" s="4"/>
      <c r="O11" s="4"/>
      <c r="P11" s="4"/>
      <c r="Q11" s="4"/>
      <c r="R11" s="4"/>
      <c r="S11" s="4"/>
      <c r="T11" s="4"/>
      <c r="U11" s="4"/>
      <c r="V11" s="4"/>
    </row>
    <row r="12" spans="1:22" x14ac:dyDescent="0.35">
      <c r="A12" s="30" t="s">
        <v>68</v>
      </c>
      <c r="B12" s="30" t="s">
        <v>69</v>
      </c>
      <c r="C12" s="30" t="s">
        <v>104</v>
      </c>
      <c r="D12" s="30" t="s">
        <v>104</v>
      </c>
      <c r="E12" s="30" t="s">
        <v>104</v>
      </c>
      <c r="F12" s="30" t="s">
        <v>104</v>
      </c>
      <c r="G12" s="30" t="s">
        <v>104</v>
      </c>
      <c r="H12" s="30" t="s">
        <v>105</v>
      </c>
      <c r="I12" s="30" t="s">
        <v>105</v>
      </c>
      <c r="J12" s="30">
        <f t="shared" si="0"/>
        <v>5</v>
      </c>
      <c r="K12" s="30">
        <f t="shared" si="1"/>
        <v>0</v>
      </c>
      <c r="L12" s="30">
        <f t="shared" si="2"/>
        <v>0</v>
      </c>
      <c r="M12" s="30">
        <f t="shared" si="3"/>
        <v>7</v>
      </c>
      <c r="N12" s="4"/>
      <c r="O12" s="4"/>
      <c r="P12" s="4"/>
      <c r="Q12" s="4"/>
      <c r="R12" s="4"/>
      <c r="S12" s="4"/>
      <c r="T12" s="4"/>
      <c r="U12" s="4"/>
      <c r="V12" s="4"/>
    </row>
    <row r="13" spans="1:22" x14ac:dyDescent="0.35">
      <c r="A13" s="37" t="s">
        <v>72</v>
      </c>
      <c r="B13" s="37" t="s">
        <v>73</v>
      </c>
      <c r="C13" s="37" t="s">
        <v>107</v>
      </c>
      <c r="D13" s="37" t="s">
        <v>104</v>
      </c>
      <c r="E13" s="37" t="s">
        <v>104</v>
      </c>
      <c r="F13" s="37" t="s">
        <v>104</v>
      </c>
      <c r="G13" s="37" t="s">
        <v>104</v>
      </c>
      <c r="H13" s="37" t="s">
        <v>105</v>
      </c>
      <c r="I13" s="37" t="s">
        <v>105</v>
      </c>
      <c r="J13" s="37">
        <f t="shared" si="0"/>
        <v>4</v>
      </c>
      <c r="K13" s="37">
        <f t="shared" si="1"/>
        <v>0</v>
      </c>
      <c r="L13" s="37">
        <f t="shared" si="2"/>
        <v>1</v>
      </c>
      <c r="M13" s="37">
        <f t="shared" si="3"/>
        <v>7</v>
      </c>
      <c r="N13" s="4"/>
      <c r="O13" s="4"/>
      <c r="P13" s="4"/>
      <c r="Q13" s="4"/>
      <c r="R13" s="4"/>
      <c r="S13" s="4"/>
      <c r="T13" s="4"/>
      <c r="U13" s="4"/>
      <c r="V13" s="4"/>
    </row>
    <row r="14" spans="1:22" x14ac:dyDescent="0.35">
      <c r="A14" s="30" t="s">
        <v>79</v>
      </c>
      <c r="B14" s="30" t="s">
        <v>80</v>
      </c>
      <c r="C14" s="30" t="s">
        <v>104</v>
      </c>
      <c r="D14" s="30" t="s">
        <v>104</v>
      </c>
      <c r="E14" s="30" t="s">
        <v>104</v>
      </c>
      <c r="F14" s="30" t="s">
        <v>104</v>
      </c>
      <c r="G14" s="30" t="s">
        <v>104</v>
      </c>
      <c r="H14" s="30" t="s">
        <v>105</v>
      </c>
      <c r="I14" s="30" t="s">
        <v>105</v>
      </c>
      <c r="J14" s="30">
        <f t="shared" si="0"/>
        <v>5</v>
      </c>
      <c r="K14" s="30">
        <f t="shared" si="1"/>
        <v>0</v>
      </c>
      <c r="L14" s="30">
        <f t="shared" si="2"/>
        <v>0</v>
      </c>
      <c r="M14" s="30">
        <f t="shared" si="3"/>
        <v>7</v>
      </c>
      <c r="N14" s="4"/>
      <c r="O14" s="4"/>
      <c r="P14" s="4"/>
      <c r="Q14" s="4"/>
      <c r="R14" s="4"/>
      <c r="S14" s="4"/>
      <c r="T14" s="4"/>
      <c r="U14" s="4"/>
      <c r="V14" s="4"/>
    </row>
    <row r="15" spans="1:22" x14ac:dyDescent="0.35">
      <c r="A15" s="37" t="s">
        <v>84</v>
      </c>
      <c r="B15" s="30" t="s">
        <v>85</v>
      </c>
      <c r="C15" s="30" t="s">
        <v>104</v>
      </c>
      <c r="D15" s="30" t="s">
        <v>104</v>
      </c>
      <c r="E15" s="30" t="s">
        <v>104</v>
      </c>
      <c r="F15" s="30" t="s">
        <v>104</v>
      </c>
      <c r="G15" s="30" t="s">
        <v>104</v>
      </c>
      <c r="H15" s="30" t="s">
        <v>105</v>
      </c>
      <c r="I15" s="30" t="s">
        <v>105</v>
      </c>
      <c r="J15" s="30">
        <f t="shared" si="0"/>
        <v>5</v>
      </c>
      <c r="K15" s="30">
        <f t="shared" si="1"/>
        <v>0</v>
      </c>
      <c r="L15" s="30">
        <f t="shared" si="2"/>
        <v>0</v>
      </c>
      <c r="M15" s="30">
        <f t="shared" si="3"/>
        <v>7</v>
      </c>
      <c r="N15" s="4"/>
      <c r="O15" s="4"/>
      <c r="P15" s="4"/>
      <c r="Q15" s="4"/>
      <c r="R15" s="4"/>
      <c r="S15" s="4"/>
      <c r="T15" s="4"/>
      <c r="U15" s="4"/>
      <c r="V15" s="4"/>
    </row>
    <row r="16" spans="1:22" x14ac:dyDescent="0.35">
      <c r="A16" s="30" t="s">
        <v>88</v>
      </c>
      <c r="B16" s="37" t="s">
        <v>89</v>
      </c>
      <c r="C16" s="37" t="s">
        <v>106</v>
      </c>
      <c r="D16" s="37" t="s">
        <v>104</v>
      </c>
      <c r="E16" s="37" t="s">
        <v>104</v>
      </c>
      <c r="F16" s="37" t="s">
        <v>104</v>
      </c>
      <c r="G16" s="37" t="s">
        <v>104</v>
      </c>
      <c r="H16" s="37" t="s">
        <v>105</v>
      </c>
      <c r="I16" s="37" t="s">
        <v>105</v>
      </c>
      <c r="J16" s="37">
        <f t="shared" si="0"/>
        <v>4</v>
      </c>
      <c r="K16" s="37">
        <f t="shared" si="1"/>
        <v>1</v>
      </c>
      <c r="L16" s="37">
        <f>COUNTIF(C16:I16,"l")</f>
        <v>0</v>
      </c>
      <c r="M16" s="37">
        <f t="shared" si="3"/>
        <v>6</v>
      </c>
      <c r="N16" s="4"/>
      <c r="O16" s="4"/>
      <c r="P16" s="4"/>
      <c r="Q16" s="4"/>
      <c r="R16" s="4"/>
      <c r="S16" s="4"/>
      <c r="T16" s="4"/>
      <c r="U16" s="4"/>
      <c r="V16" s="4"/>
    </row>
    <row r="17" spans="2:22" x14ac:dyDescent="0.35">
      <c r="N17" s="4"/>
      <c r="O17" s="4"/>
      <c r="P17" s="4"/>
      <c r="Q17" s="4"/>
      <c r="R17" s="4"/>
      <c r="S17" s="4"/>
      <c r="T17" s="4"/>
      <c r="U17" s="4"/>
      <c r="V17" s="4"/>
    </row>
    <row r="18" spans="2:22" x14ac:dyDescent="0.35">
      <c r="N18" s="4"/>
      <c r="O18" s="4"/>
      <c r="P18" s="4"/>
      <c r="Q18" s="4"/>
      <c r="R18" s="4"/>
      <c r="S18" s="4"/>
      <c r="T18" s="4"/>
      <c r="U18" s="4"/>
      <c r="V18" s="4"/>
    </row>
    <row r="19" spans="2:22" x14ac:dyDescent="0.3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2:22" x14ac:dyDescent="0.35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2:22" x14ac:dyDescent="0.35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2:22" x14ac:dyDescent="0.35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2:22" x14ac:dyDescent="0.3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2:22" x14ac:dyDescent="0.35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2:22" x14ac:dyDescent="0.35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072BE-9B58-4B01-893F-3216AD341301}">
  <dimension ref="A3:B60"/>
  <sheetViews>
    <sheetView topLeftCell="A43" workbookViewId="0">
      <selection activeCell="B52" sqref="B52"/>
    </sheetView>
  </sheetViews>
  <sheetFormatPr defaultRowHeight="14.5" x14ac:dyDescent="0.35"/>
  <cols>
    <col min="1" max="1" width="12.453125" bestFit="1" customWidth="1"/>
    <col min="2" max="2" width="17.7265625" bestFit="1" customWidth="1"/>
  </cols>
  <sheetData>
    <row r="3" spans="1:2" x14ac:dyDescent="0.35">
      <c r="A3" s="40" t="s">
        <v>129</v>
      </c>
      <c r="B3" t="s">
        <v>131</v>
      </c>
    </row>
    <row r="4" spans="1:2" x14ac:dyDescent="0.35">
      <c r="A4" s="41" t="s">
        <v>11</v>
      </c>
      <c r="B4" s="42">
        <v>50000</v>
      </c>
    </row>
    <row r="5" spans="1:2" x14ac:dyDescent="0.35">
      <c r="A5" s="41" t="s">
        <v>17</v>
      </c>
      <c r="B5" s="42">
        <v>30000</v>
      </c>
    </row>
    <row r="6" spans="1:2" x14ac:dyDescent="0.35">
      <c r="A6" s="41" t="s">
        <v>24</v>
      </c>
      <c r="B6" s="42">
        <v>40000</v>
      </c>
    </row>
    <row r="7" spans="1:2" x14ac:dyDescent="0.35">
      <c r="A7" s="41" t="s">
        <v>31</v>
      </c>
      <c r="B7" s="42">
        <v>25000</v>
      </c>
    </row>
    <row r="8" spans="1:2" x14ac:dyDescent="0.35">
      <c r="A8" s="41" t="s">
        <v>37</v>
      </c>
      <c r="B8" s="42">
        <v>45000</v>
      </c>
    </row>
    <row r="9" spans="1:2" x14ac:dyDescent="0.35">
      <c r="A9" s="41" t="s">
        <v>42</v>
      </c>
      <c r="B9" s="42">
        <v>35000</v>
      </c>
    </row>
    <row r="10" spans="1:2" x14ac:dyDescent="0.35">
      <c r="A10" s="41" t="s">
        <v>48</v>
      </c>
      <c r="B10" s="42">
        <v>32000</v>
      </c>
    </row>
    <row r="11" spans="1:2" x14ac:dyDescent="0.35">
      <c r="A11" s="41" t="s">
        <v>54</v>
      </c>
      <c r="B11" s="42">
        <v>48000</v>
      </c>
    </row>
    <row r="12" spans="1:2" x14ac:dyDescent="0.35">
      <c r="A12" s="41" t="s">
        <v>59</v>
      </c>
      <c r="B12" s="42">
        <v>42000</v>
      </c>
    </row>
    <row r="13" spans="1:2" x14ac:dyDescent="0.35">
      <c r="A13" s="41" t="s">
        <v>64</v>
      </c>
      <c r="B13" s="42">
        <v>46000</v>
      </c>
    </row>
    <row r="14" spans="1:2" x14ac:dyDescent="0.35">
      <c r="A14" s="41" t="s">
        <v>68</v>
      </c>
      <c r="B14" s="42">
        <v>28000</v>
      </c>
    </row>
    <row r="15" spans="1:2" x14ac:dyDescent="0.35">
      <c r="A15" s="41" t="s">
        <v>72</v>
      </c>
      <c r="B15" s="42">
        <v>38000</v>
      </c>
    </row>
    <row r="16" spans="1:2" x14ac:dyDescent="0.35">
      <c r="A16" s="41" t="s">
        <v>79</v>
      </c>
      <c r="B16" s="42">
        <v>22000</v>
      </c>
    </row>
    <row r="17" spans="1:2" x14ac:dyDescent="0.35">
      <c r="A17" s="41" t="s">
        <v>84</v>
      </c>
      <c r="B17" s="42">
        <v>55000</v>
      </c>
    </row>
    <row r="18" spans="1:2" x14ac:dyDescent="0.35">
      <c r="A18" s="41" t="s">
        <v>88</v>
      </c>
      <c r="B18" s="42">
        <v>26000</v>
      </c>
    </row>
    <row r="19" spans="1:2" x14ac:dyDescent="0.35">
      <c r="A19" s="41" t="s">
        <v>130</v>
      </c>
      <c r="B19" s="42">
        <v>562000</v>
      </c>
    </row>
    <row r="22" spans="1:2" x14ac:dyDescent="0.35">
      <c r="A22" s="40" t="s">
        <v>129</v>
      </c>
      <c r="B22" t="s">
        <v>131</v>
      </c>
    </row>
    <row r="23" spans="1:2" x14ac:dyDescent="0.35">
      <c r="A23" s="41" t="s">
        <v>60</v>
      </c>
      <c r="B23" s="42">
        <v>42000</v>
      </c>
    </row>
    <row r="24" spans="1:2" x14ac:dyDescent="0.35">
      <c r="A24" s="41" t="s">
        <v>25</v>
      </c>
      <c r="B24" s="42">
        <v>40000</v>
      </c>
    </row>
    <row r="25" spans="1:2" x14ac:dyDescent="0.35">
      <c r="A25" s="41" t="s">
        <v>55</v>
      </c>
      <c r="B25" s="42">
        <v>48000</v>
      </c>
    </row>
    <row r="26" spans="1:2" x14ac:dyDescent="0.35">
      <c r="A26" s="41" t="s">
        <v>80</v>
      </c>
      <c r="B26" s="42">
        <v>22000</v>
      </c>
    </row>
    <row r="27" spans="1:2" x14ac:dyDescent="0.35">
      <c r="A27" s="41" t="s">
        <v>69</v>
      </c>
      <c r="B27" s="42">
        <v>28000</v>
      </c>
    </row>
    <row r="28" spans="1:2" x14ac:dyDescent="0.35">
      <c r="A28" s="41" t="s">
        <v>85</v>
      </c>
      <c r="B28" s="42">
        <v>55000</v>
      </c>
    </row>
    <row r="29" spans="1:2" x14ac:dyDescent="0.35">
      <c r="A29" s="41" t="s">
        <v>32</v>
      </c>
      <c r="B29" s="42">
        <v>25000</v>
      </c>
    </row>
    <row r="30" spans="1:2" x14ac:dyDescent="0.35">
      <c r="A30" s="41" t="s">
        <v>73</v>
      </c>
      <c r="B30" s="42">
        <v>38000</v>
      </c>
    </row>
    <row r="31" spans="1:2" x14ac:dyDescent="0.35">
      <c r="A31" s="41" t="s">
        <v>43</v>
      </c>
      <c r="B31" s="42">
        <v>35000</v>
      </c>
    </row>
    <row r="32" spans="1:2" x14ac:dyDescent="0.35">
      <c r="A32" s="41" t="s">
        <v>12</v>
      </c>
      <c r="B32" s="42">
        <v>50000</v>
      </c>
    </row>
    <row r="33" spans="1:2" x14ac:dyDescent="0.35">
      <c r="A33" s="41" t="s">
        <v>49</v>
      </c>
      <c r="B33" s="42">
        <v>32000</v>
      </c>
    </row>
    <row r="34" spans="1:2" x14ac:dyDescent="0.35">
      <c r="A34" s="41" t="s">
        <v>89</v>
      </c>
      <c r="B34" s="42">
        <v>26000</v>
      </c>
    </row>
    <row r="35" spans="1:2" x14ac:dyDescent="0.35">
      <c r="A35" s="41" t="s">
        <v>18</v>
      </c>
      <c r="B35" s="42">
        <v>30000</v>
      </c>
    </row>
    <row r="36" spans="1:2" x14ac:dyDescent="0.35">
      <c r="A36" s="41" t="s">
        <v>65</v>
      </c>
      <c r="B36" s="42">
        <v>46000</v>
      </c>
    </row>
    <row r="37" spans="1:2" x14ac:dyDescent="0.35">
      <c r="A37" s="41" t="s">
        <v>38</v>
      </c>
      <c r="B37" s="42">
        <v>45000</v>
      </c>
    </row>
    <row r="38" spans="1:2" x14ac:dyDescent="0.35">
      <c r="A38" s="41" t="s">
        <v>130</v>
      </c>
      <c r="B38" s="42">
        <v>562000</v>
      </c>
    </row>
    <row r="40" spans="1:2" x14ac:dyDescent="0.35">
      <c r="A40" t="s">
        <v>131</v>
      </c>
    </row>
    <row r="41" spans="1:2" x14ac:dyDescent="0.35">
      <c r="A41" s="42">
        <v>562000</v>
      </c>
    </row>
    <row r="42" spans="1:2" x14ac:dyDescent="0.35">
      <c r="A42">
        <f>GETPIVOTDATA("Basic_Salary",$A$40)</f>
        <v>562000</v>
      </c>
    </row>
    <row r="44" spans="1:2" x14ac:dyDescent="0.35">
      <c r="A44" s="40" t="s">
        <v>129</v>
      </c>
    </row>
    <row r="45" spans="1:2" x14ac:dyDescent="0.35">
      <c r="A45" s="41" t="s">
        <v>11</v>
      </c>
    </row>
    <row r="46" spans="1:2" x14ac:dyDescent="0.35">
      <c r="A46" s="41" t="s">
        <v>17</v>
      </c>
    </row>
    <row r="47" spans="1:2" x14ac:dyDescent="0.35">
      <c r="A47" s="41" t="s">
        <v>24</v>
      </c>
    </row>
    <row r="48" spans="1:2" x14ac:dyDescent="0.35">
      <c r="A48" s="41" t="s">
        <v>31</v>
      </c>
    </row>
    <row r="49" spans="1:1" x14ac:dyDescent="0.35">
      <c r="A49" s="41" t="s">
        <v>37</v>
      </c>
    </row>
    <row r="50" spans="1:1" x14ac:dyDescent="0.35">
      <c r="A50" s="41" t="s">
        <v>42</v>
      </c>
    </row>
    <row r="51" spans="1:1" x14ac:dyDescent="0.35">
      <c r="A51" s="41" t="s">
        <v>48</v>
      </c>
    </row>
    <row r="52" spans="1:1" x14ac:dyDescent="0.35">
      <c r="A52" s="41" t="s">
        <v>54</v>
      </c>
    </row>
    <row r="53" spans="1:1" x14ac:dyDescent="0.35">
      <c r="A53" s="41" t="s">
        <v>59</v>
      </c>
    </row>
    <row r="54" spans="1:1" x14ac:dyDescent="0.35">
      <c r="A54" s="41" t="s">
        <v>64</v>
      </c>
    </row>
    <row r="55" spans="1:1" x14ac:dyDescent="0.35">
      <c r="A55" s="41" t="s">
        <v>68</v>
      </c>
    </row>
    <row r="56" spans="1:1" x14ac:dyDescent="0.35">
      <c r="A56" s="41" t="s">
        <v>72</v>
      </c>
    </row>
    <row r="57" spans="1:1" x14ac:dyDescent="0.35">
      <c r="A57" s="41" t="s">
        <v>79</v>
      </c>
    </row>
    <row r="58" spans="1:1" x14ac:dyDescent="0.35">
      <c r="A58" s="41" t="s">
        <v>84</v>
      </c>
    </row>
    <row r="59" spans="1:1" x14ac:dyDescent="0.35">
      <c r="A59" s="41" t="s">
        <v>88</v>
      </c>
    </row>
    <row r="60" spans="1:1" x14ac:dyDescent="0.35">
      <c r="A60" s="41" t="s">
        <v>130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8A445-F83E-4727-B506-ECE3A7EF230D}">
  <dimension ref="A1:AB144"/>
  <sheetViews>
    <sheetView tabSelected="1" zoomScaleNormal="100" workbookViewId="0">
      <selection activeCell="E8" sqref="E8"/>
    </sheetView>
  </sheetViews>
  <sheetFormatPr defaultRowHeight="14.5" x14ac:dyDescent="0.35"/>
  <cols>
    <col min="3" max="3" width="12.90625" bestFit="1" customWidth="1"/>
    <col min="4" max="4" width="9.08984375" bestFit="1" customWidth="1"/>
    <col min="5" max="5" width="15.54296875" bestFit="1" customWidth="1"/>
    <col min="6" max="6" width="12.6328125" bestFit="1" customWidth="1"/>
    <col min="7" max="7" width="14.36328125" customWidth="1"/>
    <col min="8" max="8" width="11" bestFit="1" customWidth="1"/>
  </cols>
  <sheetData>
    <row r="1" spans="1:28" x14ac:dyDescent="0.35">
      <c r="A1" s="4"/>
      <c r="B1" s="4"/>
      <c r="C1" s="19" t="s">
        <v>111</v>
      </c>
      <c r="D1" s="20"/>
      <c r="E1" s="20"/>
      <c r="F1" s="20"/>
      <c r="G1" s="20"/>
      <c r="H1" s="20"/>
      <c r="I1" s="20"/>
      <c r="J1" s="21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x14ac:dyDescent="0.35">
      <c r="A2" s="4"/>
      <c r="B2" s="4"/>
      <c r="C2" s="22"/>
      <c r="D2" s="23"/>
      <c r="E2" s="23"/>
      <c r="F2" s="23"/>
      <c r="G2" s="23"/>
      <c r="H2" s="23"/>
      <c r="I2" s="23"/>
      <c r="J2" s="2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x14ac:dyDescent="0.35">
      <c r="A3" s="4"/>
      <c r="B3" s="4"/>
      <c r="C3" s="5"/>
      <c r="D3" s="4"/>
      <c r="E3" s="4"/>
      <c r="F3" s="4"/>
      <c r="G3" s="4"/>
      <c r="H3" s="4"/>
      <c r="I3" s="4"/>
      <c r="J3" s="6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x14ac:dyDescent="0.35">
      <c r="A4" s="4"/>
      <c r="B4" s="4"/>
      <c r="C4" s="25" t="s">
        <v>110</v>
      </c>
      <c r="D4" s="17"/>
      <c r="E4" s="17"/>
      <c r="F4" s="17"/>
      <c r="G4" s="17"/>
      <c r="H4" s="17"/>
      <c r="I4" s="17"/>
      <c r="J4" s="18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x14ac:dyDescent="0.35">
      <c r="A5" s="4"/>
      <c r="B5" s="4"/>
      <c r="C5" s="25" t="s">
        <v>111</v>
      </c>
      <c r="D5" s="17"/>
      <c r="E5" s="17"/>
      <c r="F5" s="17"/>
      <c r="G5" s="17"/>
      <c r="H5" s="17"/>
      <c r="I5" s="17"/>
      <c r="J5" s="18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x14ac:dyDescent="0.35">
      <c r="A6" s="4"/>
      <c r="B6" s="4"/>
      <c r="C6" s="7"/>
      <c r="D6" s="4"/>
      <c r="E6" s="4"/>
      <c r="F6" s="4"/>
      <c r="G6" s="4"/>
      <c r="H6" s="4"/>
      <c r="I6" s="4"/>
      <c r="J6" s="6"/>
      <c r="K6" s="4"/>
      <c r="L6" s="4"/>
      <c r="M6" s="4"/>
      <c r="N6" s="4"/>
      <c r="O6" s="2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x14ac:dyDescent="0.35">
      <c r="A7" s="4"/>
      <c r="B7" s="4"/>
      <c r="C7" s="26" t="s">
        <v>112</v>
      </c>
      <c r="D7" s="27"/>
      <c r="E7" s="15" t="s">
        <v>54</v>
      </c>
      <c r="F7" s="2" t="s">
        <v>113</v>
      </c>
      <c r="G7" s="15" t="str">
        <f>VLOOKUP(E7,payroll_management_db!A:K,2,0)</f>
        <v>Gurpreet</v>
      </c>
      <c r="H7" s="2" t="s">
        <v>125</v>
      </c>
      <c r="I7" s="28" t="str">
        <f>VLOOKUP(E7, payroll_management_db!A:K, 3, FALSE)</f>
        <v>Singh</v>
      </c>
      <c r="J7" s="29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x14ac:dyDescent="0.35">
      <c r="A8" s="4"/>
      <c r="B8" s="4"/>
      <c r="C8" s="5"/>
      <c r="D8" s="4"/>
      <c r="E8" s="4"/>
      <c r="F8" s="4"/>
      <c r="H8" s="4"/>
      <c r="I8" s="4"/>
      <c r="J8" s="6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x14ac:dyDescent="0.35">
      <c r="A9" s="4"/>
      <c r="B9" s="4"/>
      <c r="C9" s="16" t="s">
        <v>114</v>
      </c>
      <c r="D9" s="17"/>
      <c r="E9" s="32" t="str">
        <f>VLOOKUP(E7, payroll_management_db!A:K, 4, FALSE)</f>
        <v>Operations</v>
      </c>
      <c r="F9" s="32"/>
      <c r="G9" s="2"/>
      <c r="H9" s="34" t="s">
        <v>115</v>
      </c>
      <c r="I9" s="32" t="str">
        <f>VLOOKUP(E7, payroll_management_db!A:K, 5, FALSE)</f>
        <v>Manager</v>
      </c>
      <c r="J9" s="33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x14ac:dyDescent="0.35">
      <c r="A10" s="4"/>
      <c r="B10" s="4"/>
      <c r="C10" s="8" t="s">
        <v>5</v>
      </c>
      <c r="D10" s="31" t="str">
        <f>VLOOKUP(E7, payroll_management_db!A:K,6, FALSE)</f>
        <v>14/06/2019</v>
      </c>
      <c r="E10" s="35" t="s">
        <v>10</v>
      </c>
      <c r="F10" s="17" t="str">
        <f>VLOOKUP(E7,payroll_management_db!A:K,11,0)</f>
        <v>HDFC0001236</v>
      </c>
      <c r="G10" s="17"/>
      <c r="H10" s="35" t="s">
        <v>128</v>
      </c>
      <c r="I10" s="27">
        <f>VLOOKUP(E7,payroll_management_db!A:L,12,0)</f>
        <v>64646464764</v>
      </c>
      <c r="J10" s="27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x14ac:dyDescent="0.35">
      <c r="A11" s="4"/>
      <c r="B11" s="4"/>
      <c r="C11" s="10"/>
      <c r="D11" s="4"/>
      <c r="F11" s="4"/>
      <c r="H11" s="4"/>
      <c r="J11" s="6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x14ac:dyDescent="0.35">
      <c r="A12" s="4"/>
      <c r="B12" s="4"/>
      <c r="C12" s="8" t="s">
        <v>118</v>
      </c>
      <c r="D12" s="4"/>
      <c r="E12" s="2" t="s">
        <v>116</v>
      </c>
      <c r="F12" s="4"/>
      <c r="G12" s="2" t="s">
        <v>117</v>
      </c>
      <c r="H12" s="4"/>
      <c r="I12" s="3" t="s">
        <v>116</v>
      </c>
      <c r="J12" s="6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x14ac:dyDescent="0.35">
      <c r="A13" s="4"/>
      <c r="B13" s="4"/>
      <c r="C13" s="8" t="s">
        <v>119</v>
      </c>
      <c r="D13" s="4"/>
      <c r="E13" s="2">
        <f>VLOOKUP(E7, salary_process!A:I, 5, FALSE)</f>
        <v>9290.32</v>
      </c>
      <c r="F13" s="4"/>
      <c r="G13" s="2" t="s">
        <v>120</v>
      </c>
      <c r="H13" s="4"/>
      <c r="I13" s="1">
        <f>VLOOKUP(E7, salary_process!A:I, 8, FALSE)</f>
        <v>1440</v>
      </c>
      <c r="J13" s="6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x14ac:dyDescent="0.35">
      <c r="A14" s="4"/>
      <c r="B14" s="4"/>
      <c r="C14" s="8" t="s">
        <v>7</v>
      </c>
      <c r="D14" s="4"/>
      <c r="E14" s="2">
        <f>VLOOKUP(E7, salary_process!A:I, 6, FALSE)</f>
        <v>7680</v>
      </c>
      <c r="F14" s="4"/>
      <c r="G14" s="2" t="s">
        <v>126</v>
      </c>
      <c r="H14" s="4"/>
      <c r="I14" s="46">
        <f>VLOOKUP(E7, salary_process!A:H, 7, FALSE)</f>
        <v>278.70959999999997</v>
      </c>
      <c r="J14" s="6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x14ac:dyDescent="0.35">
      <c r="A15" s="4"/>
      <c r="B15" s="4"/>
      <c r="C15" s="8" t="s">
        <v>121</v>
      </c>
      <c r="D15" s="4"/>
      <c r="E15" s="2">
        <f>VLOOKUP(E7, payroll_management_db!A:K, 9, FALSE)</f>
        <v>2400</v>
      </c>
      <c r="F15" s="4"/>
      <c r="G15" s="4"/>
      <c r="I15" s="4"/>
      <c r="J15" s="9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x14ac:dyDescent="0.35">
      <c r="A16" s="4"/>
      <c r="B16" s="4"/>
      <c r="C16" s="8" t="s">
        <v>122</v>
      </c>
      <c r="D16" s="4"/>
      <c r="E16" s="2">
        <f>SUM(E13:E15)</f>
        <v>19370.32</v>
      </c>
      <c r="F16" s="4"/>
      <c r="G16" s="2" t="s">
        <v>123</v>
      </c>
      <c r="H16" s="4"/>
      <c r="I16" s="1">
        <f>I13+I14</f>
        <v>1718.7095999999999</v>
      </c>
      <c r="J16" s="6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15" thickBot="1" x14ac:dyDescent="0.4">
      <c r="A17" s="4"/>
      <c r="B17" s="4"/>
      <c r="C17" s="11" t="s">
        <v>124</v>
      </c>
      <c r="D17" s="12">
        <f>E16-I16</f>
        <v>17651.610400000001</v>
      </c>
      <c r="E17" s="13"/>
      <c r="F17" s="13"/>
      <c r="G17" s="13"/>
      <c r="H17" s="13"/>
      <c r="I17" s="13"/>
      <c r="J17" s="1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x14ac:dyDescent="0.35"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x14ac:dyDescent="0.35"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x14ac:dyDescent="0.35"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x14ac:dyDescent="0.35"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x14ac:dyDescent="0.35"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x14ac:dyDescent="0.35"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x14ac:dyDescent="0.35"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3:28" x14ac:dyDescent="0.35"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3:28" x14ac:dyDescent="0.35"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3:28" x14ac:dyDescent="0.35"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3:28" x14ac:dyDescent="0.35"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3:28" x14ac:dyDescent="0.35"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3:28" x14ac:dyDescent="0.35"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3:28" x14ac:dyDescent="0.35"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3:28" x14ac:dyDescent="0.35"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3:28" x14ac:dyDescent="0.35"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3:28" x14ac:dyDescent="0.35"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3:28" x14ac:dyDescent="0.35"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3:28" x14ac:dyDescent="0.35"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3:28" x14ac:dyDescent="0.35"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3:28" x14ac:dyDescent="0.35"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3:28" x14ac:dyDescent="0.35"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3:28" x14ac:dyDescent="0.35"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3:28" x14ac:dyDescent="0.35"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3:28" x14ac:dyDescent="0.35"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3:28" x14ac:dyDescent="0.35"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3:28" x14ac:dyDescent="0.35"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3:28" x14ac:dyDescent="0.35"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3:28" x14ac:dyDescent="0.35"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3:28" x14ac:dyDescent="0.35"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3:28" x14ac:dyDescent="0.35"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3:28" x14ac:dyDescent="0.35"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3:28" x14ac:dyDescent="0.35"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3:28" x14ac:dyDescent="0.35"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3:28" x14ac:dyDescent="0.35"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3:28" x14ac:dyDescent="0.35"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3:28" x14ac:dyDescent="0.35"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3:28" x14ac:dyDescent="0.35"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3:28" x14ac:dyDescent="0.35"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3:28" x14ac:dyDescent="0.35"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3:28" x14ac:dyDescent="0.35"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3:28" x14ac:dyDescent="0.35"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3:28" x14ac:dyDescent="0.35"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3:28" x14ac:dyDescent="0.35"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3:28" x14ac:dyDescent="0.35"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3:28" x14ac:dyDescent="0.35"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3:28" x14ac:dyDescent="0.35"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3:28" x14ac:dyDescent="0.35"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3:28" x14ac:dyDescent="0.35"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3:28" x14ac:dyDescent="0.35"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3:28" x14ac:dyDescent="0.35"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3:28" x14ac:dyDescent="0.35"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3:28" x14ac:dyDescent="0.35"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3:28" x14ac:dyDescent="0.35"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3:28" x14ac:dyDescent="0.35"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</sheetData>
  <mergeCells count="10">
    <mergeCell ref="F10:G10"/>
    <mergeCell ref="I10:J10"/>
    <mergeCell ref="C9:D9"/>
    <mergeCell ref="E9:F9"/>
    <mergeCell ref="I9:J9"/>
    <mergeCell ref="C1:J2"/>
    <mergeCell ref="C4:J4"/>
    <mergeCell ref="C5:J5"/>
    <mergeCell ref="C7:D7"/>
    <mergeCell ref="I7:J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payroll_management_db</vt:lpstr>
      <vt:lpstr>salary_process</vt:lpstr>
      <vt:lpstr>employee_payroll_system</vt:lpstr>
      <vt:lpstr>pivot_db</vt:lpstr>
      <vt:lpstr>payslip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Harmandeep Singh</dc:creator>
  <cp:lastModifiedBy>Harmandeep Singh</cp:lastModifiedBy>
  <cp:lastPrinted>2026-07-11T09:01:45Z</cp:lastPrinted>
  <dcterms:created xsi:type="dcterms:W3CDTF">2026-07-11T07:55:45Z</dcterms:created>
  <dcterms:modified xsi:type="dcterms:W3CDTF">2026-07-11T10:59:40Z</dcterms:modified>
</cp:coreProperties>
</file>